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armacy\C# Projects\"/>
    </mc:Choice>
  </mc:AlternateContent>
  <bookViews>
    <workbookView xWindow="240" yWindow="348" windowWidth="12240" windowHeight="7728" firstSheet="3" activeTab="9"/>
  </bookViews>
  <sheets>
    <sheet name="BuyBill Tables" sheetId="1" r:id="rId1"/>
    <sheet name="BuyBill Calculations" sheetId="3" r:id="rId2"/>
    <sheet name="Item Operations Table" sheetId="4" r:id="rId3"/>
    <sheet name="Zakaa" sheetId="2" r:id="rId4"/>
    <sheet name="Supplier Account Statement" sheetId="5" r:id="rId5"/>
    <sheet name="PurchasesSearch" sheetId="6" r:id="rId6"/>
    <sheet name="Repurchases" sheetId="7" r:id="rId7"/>
    <sheet name="Test Item Quanity" sheetId="8" r:id="rId8"/>
    <sheet name="Sales" sheetId="9" r:id="rId9"/>
    <sheet name="Sheet1" sheetId="10" r:id="rId10"/>
  </sheets>
  <definedNames>
    <definedName name="_xlnm._FilterDatabase" localSheetId="8" hidden="1">Sales!$I$58:$O$73</definedName>
  </definedNames>
  <calcPr calcId="162913"/>
</workbook>
</file>

<file path=xl/calcChain.xml><?xml version="1.0" encoding="utf-8"?>
<calcChain xmlns="http://schemas.openxmlformats.org/spreadsheetml/2006/main">
  <c r="CR19" i="10" l="1"/>
  <c r="CR20" i="10"/>
  <c r="CR21" i="10"/>
  <c r="CR18" i="10"/>
  <c r="CQ19" i="10"/>
  <c r="CQ20" i="10"/>
  <c r="CQ18" i="10"/>
  <c r="P13" i="8" l="1"/>
  <c r="P12" i="8"/>
  <c r="H51" i="9" l="1"/>
  <c r="N79" i="9" l="1"/>
  <c r="N78" i="9"/>
  <c r="L77" i="9"/>
  <c r="S12" i="8" l="1"/>
  <c r="S11" i="8"/>
  <c r="S10" i="8"/>
  <c r="S9" i="8"/>
  <c r="S8" i="8"/>
  <c r="Q12" i="8" l="1"/>
  <c r="O9" i="8"/>
  <c r="N15" i="8"/>
  <c r="N14" i="8"/>
  <c r="B11" i="8"/>
  <c r="B10" i="8"/>
  <c r="C8" i="8"/>
  <c r="L29" i="8" l="1"/>
  <c r="L28" i="8"/>
  <c r="L27" i="8"/>
  <c r="O4" i="8"/>
  <c r="N3" i="8"/>
  <c r="M3" i="8"/>
  <c r="M18" i="8"/>
  <c r="M19" i="8"/>
  <c r="M5" i="8"/>
  <c r="P19" i="8" l="1"/>
  <c r="P17" i="8"/>
  <c r="P16" i="8"/>
  <c r="G11" i="8"/>
  <c r="H17" i="8"/>
  <c r="H8" i="8"/>
  <c r="H12" i="8"/>
  <c r="G12" i="8"/>
  <c r="G19" i="8"/>
  <c r="G9" i="8"/>
  <c r="G16" i="8"/>
  <c r="C14" i="8"/>
  <c r="D13" i="8"/>
  <c r="D14" i="8"/>
  <c r="G15" i="8"/>
  <c r="G14" i="8"/>
  <c r="E17" i="8"/>
  <c r="E15" i="8"/>
  <c r="E14" i="8"/>
  <c r="M14" i="8"/>
  <c r="M13" i="8"/>
  <c r="M12" i="8"/>
  <c r="G20" i="8"/>
  <c r="M8" i="8"/>
  <c r="M7" i="8"/>
  <c r="I29" i="8"/>
  <c r="H10" i="8"/>
  <c r="H9" i="8"/>
  <c r="M41" i="8"/>
  <c r="M40" i="8"/>
  <c r="L41" i="8"/>
  <c r="J40" i="8"/>
  <c r="L40" i="8"/>
  <c r="J41" i="8"/>
  <c r="K38" i="8"/>
  <c r="K37" i="8"/>
  <c r="K35" i="8"/>
  <c r="J33" i="8"/>
  <c r="J32" i="8"/>
  <c r="J31" i="8"/>
  <c r="K31" i="8"/>
  <c r="K33" i="8"/>
  <c r="K32" i="8"/>
  <c r="J28" i="8" l="1"/>
  <c r="J25" i="8" l="1"/>
  <c r="K25" i="8" s="1"/>
  <c r="L25" i="8" s="1"/>
  <c r="J24" i="8"/>
  <c r="K24" i="8" s="1"/>
  <c r="L24" i="8" s="1"/>
  <c r="J5" i="8"/>
  <c r="L23" i="8"/>
  <c r="K23" i="8"/>
  <c r="J23" i="8"/>
  <c r="L22" i="8"/>
  <c r="K22" i="8"/>
  <c r="J22" i="8"/>
  <c r="J18" i="8"/>
  <c r="K18" i="8"/>
  <c r="K10" i="8"/>
  <c r="L10" i="8" s="1"/>
  <c r="K20" i="8" l="1"/>
  <c r="L20" i="8" s="1"/>
  <c r="K15" i="8"/>
  <c r="K9" i="8"/>
  <c r="K3" i="8"/>
  <c r="J3" i="8"/>
  <c r="K4" i="8"/>
  <c r="L4" i="8" s="1"/>
  <c r="K8" i="8"/>
  <c r="L8" i="8" s="1"/>
  <c r="K14" i="8"/>
  <c r="L14" i="8" s="1"/>
  <c r="L9" i="8" l="1"/>
  <c r="M10" i="8"/>
  <c r="D14" i="7"/>
  <c r="D13" i="7"/>
  <c r="D16" i="7"/>
  <c r="E19" i="7"/>
  <c r="E18" i="7"/>
  <c r="E17" i="7"/>
  <c r="H23" i="7" l="1"/>
  <c r="H22" i="7"/>
  <c r="A8" i="2" l="1"/>
  <c r="A3" i="2"/>
  <c r="A4" i="2" s="1"/>
  <c r="H19" i="8"/>
  <c r="K19" i="8"/>
  <c r="L19" i="8" s="1"/>
</calcChain>
</file>

<file path=xl/comments1.xml><?xml version="1.0" encoding="utf-8"?>
<comments xmlns="http://schemas.openxmlformats.org/spreadsheetml/2006/main">
  <authors>
    <author>Mohammed Soliman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Mohammed Soliman:</t>
        </r>
        <r>
          <rPr>
            <sz val="9"/>
            <color indexed="81"/>
            <rFont val="Tahoma"/>
            <family val="2"/>
          </rPr>
          <t xml:space="preserve">
Inter Sp_EditException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Mohammed Soliman:</t>
        </r>
        <r>
          <rPr>
            <sz val="9"/>
            <color indexed="81"/>
            <rFont val="Tahoma"/>
            <family val="2"/>
          </rPr>
          <t xml:space="preserve">
Automatic Identity Specification One Record</t>
        </r>
      </text>
    </comment>
  </commentList>
</comments>
</file>

<file path=xl/sharedStrings.xml><?xml version="1.0" encoding="utf-8"?>
<sst xmlns="http://schemas.openxmlformats.org/spreadsheetml/2006/main" count="1144" uniqueCount="614">
  <si>
    <t>Users Form</t>
  </si>
  <si>
    <t>Suppliers Form</t>
  </si>
  <si>
    <t>Stores Form</t>
  </si>
  <si>
    <t>Server Form</t>
  </si>
  <si>
    <t>Notifications Form</t>
  </si>
  <si>
    <t>Main Form</t>
  </si>
  <si>
    <t>Login Form</t>
  </si>
  <si>
    <t>Intro Form</t>
  </si>
  <si>
    <t>Items Form</t>
  </si>
  <si>
    <t>Customers Form</t>
  </si>
  <si>
    <t>Companies Form</t>
  </si>
  <si>
    <t>Branches Form</t>
  </si>
  <si>
    <t>Database</t>
  </si>
  <si>
    <t>Forms</t>
  </si>
  <si>
    <t>Register Table Done</t>
  </si>
  <si>
    <t>Items Table Done</t>
  </si>
  <si>
    <t>Customers Table Done</t>
  </si>
  <si>
    <t>Branches Table Done</t>
  </si>
  <si>
    <t>Suppliers Table Done</t>
  </si>
  <si>
    <t>Stores Table Done</t>
  </si>
  <si>
    <t>Users Table Done</t>
  </si>
  <si>
    <t>None</t>
  </si>
  <si>
    <t>Exception Table Done</t>
  </si>
  <si>
    <t>Companies Table Done</t>
  </si>
  <si>
    <t>BuyDetails</t>
  </si>
  <si>
    <t>BuyPillID</t>
  </si>
  <si>
    <t>int</t>
  </si>
  <si>
    <t>BuyPillDate</t>
  </si>
  <si>
    <t>Nvarchar(50)</t>
  </si>
  <si>
    <t>BuyPillTime</t>
  </si>
  <si>
    <t>PCNameWhoAdded</t>
  </si>
  <si>
    <t>BuyPillWhoAdded</t>
  </si>
  <si>
    <t>PCNameWhoModified</t>
  </si>
  <si>
    <t>PCNameWhoDeleted</t>
  </si>
  <si>
    <t>BuyPillWhoWhoModified</t>
  </si>
  <si>
    <t>BuyPillWhoWhoDeleted</t>
  </si>
  <si>
    <t>BuyPillStatus</t>
  </si>
  <si>
    <t>bit</t>
  </si>
  <si>
    <t>BuyPillSupplierNo</t>
  </si>
  <si>
    <t>BuyPillPayType</t>
  </si>
  <si>
    <t>BuyPillSupplier</t>
  </si>
  <si>
    <t>BuyPillStore</t>
  </si>
  <si>
    <t>BuyPillNotes</t>
  </si>
  <si>
    <t>Nvarchar(100)</t>
  </si>
  <si>
    <t>BuyPillTotalSalePrice</t>
  </si>
  <si>
    <t>decimal (18, 3)</t>
  </si>
  <si>
    <t>الجمهور</t>
  </si>
  <si>
    <t>BuyPillTotalBuyPrice</t>
  </si>
  <si>
    <t>BuyPillTotalItemsCount</t>
  </si>
  <si>
    <t>BuyPillTotalEarn</t>
  </si>
  <si>
    <t>BuyPillTotalTax</t>
  </si>
  <si>
    <t>BuyPillTotalDiscound</t>
  </si>
  <si>
    <t>BuyPillTotalExpenses</t>
  </si>
  <si>
    <t>BuyPillTotal</t>
  </si>
  <si>
    <t>BuyPillPaied</t>
  </si>
  <si>
    <t>BuyPillRemain</t>
  </si>
  <si>
    <t>BuyPillBarcode</t>
  </si>
  <si>
    <t>BuyDetailID</t>
  </si>
  <si>
    <t>BuyDetailBuyID</t>
  </si>
  <si>
    <t>BuyDetailReBuyID</t>
  </si>
  <si>
    <t>BuyDetailItemID</t>
  </si>
  <si>
    <t>BuyDetailItemSalePrice</t>
  </si>
  <si>
    <t>BuyDetailItemUnit</t>
  </si>
  <si>
    <t>BuyDetailBuyQuantity</t>
  </si>
  <si>
    <t>BuyDetailBuyExpiry</t>
  </si>
  <si>
    <t>BuyDetailItemBalance</t>
  </si>
  <si>
    <t>BuyDetailItemBuyPrice</t>
  </si>
  <si>
    <t>BuyDetailDiscound</t>
  </si>
  <si>
    <t>BuyDetailTotalBuy</t>
  </si>
  <si>
    <t>BuyDetailTotalBuyforUnit</t>
  </si>
  <si>
    <t>BuyDetailItemTax</t>
  </si>
  <si>
    <t>BuyDetailTotalTax</t>
  </si>
  <si>
    <t>BuyDetailUnitEarn</t>
  </si>
  <si>
    <t>BuyDetailTotalEarn</t>
  </si>
  <si>
    <t>BuyDetailNotes</t>
  </si>
  <si>
    <t>BuyDetailReBuyQuantity</t>
  </si>
  <si>
    <t>BuyDetailReBuyprice</t>
  </si>
  <si>
    <t>BuyDetailReBuyTotalG</t>
  </si>
  <si>
    <t>BuyDetailReBuyTotalB</t>
  </si>
  <si>
    <t>BuyDetailReBuyNotes</t>
  </si>
  <si>
    <t>totalB سعر * كمية</t>
  </si>
  <si>
    <t>totalG سعربيع * كمية</t>
  </si>
  <si>
    <t>BuyDetailReBuyItemReturn</t>
  </si>
  <si>
    <t>ReBuyPillDate</t>
  </si>
  <si>
    <t>ReBuyPillTime</t>
  </si>
  <si>
    <t>Barcode</t>
  </si>
  <si>
    <t>ItemID</t>
  </si>
  <si>
    <t>ItemName</t>
  </si>
  <si>
    <t>ItemGroup</t>
  </si>
  <si>
    <t>ItemBalance</t>
  </si>
  <si>
    <t>Price</t>
  </si>
  <si>
    <t>ItemUnit</t>
  </si>
  <si>
    <t>ItemQuantity</t>
  </si>
  <si>
    <t>ItemExpiry</t>
  </si>
  <si>
    <t>TotalSaleForCustomer</t>
  </si>
  <si>
    <t>Discound</t>
  </si>
  <si>
    <t>BuyPrice</t>
  </si>
  <si>
    <t>TotalBuyPrice</t>
  </si>
  <si>
    <t>TaxUnit</t>
  </si>
  <si>
    <t>TotalTaxUnit</t>
  </si>
  <si>
    <t>ItemPlace</t>
  </si>
  <si>
    <t>ItemCompany</t>
  </si>
  <si>
    <t>Notes</t>
  </si>
  <si>
    <t>btnDelete</t>
  </si>
  <si>
    <t>الباركود</t>
  </si>
  <si>
    <t>رقم الصنف</t>
  </si>
  <si>
    <t>الصنف</t>
  </si>
  <si>
    <t>المجموعة العلمية</t>
  </si>
  <si>
    <t>رصيد الصنف</t>
  </si>
  <si>
    <t>سعر البيع</t>
  </si>
  <si>
    <t>نوع الوحدة</t>
  </si>
  <si>
    <t xml:space="preserve">كمية </t>
  </si>
  <si>
    <t>صلاحية الصنف</t>
  </si>
  <si>
    <t>اجمالى الوحدة بسعر البيع للجمهور</t>
  </si>
  <si>
    <t>الخصم</t>
  </si>
  <si>
    <t>سعر الشراء</t>
  </si>
  <si>
    <t>اجمالى الوحدة بسعر الشراء من المورد</t>
  </si>
  <si>
    <t>ضريبة الوحدة</t>
  </si>
  <si>
    <t>اجمالى ضريبة الوحدة</t>
  </si>
  <si>
    <t>المكان على الرف</t>
  </si>
  <si>
    <t>الشركة المنتجة</t>
  </si>
  <si>
    <t>ملاحظات</t>
  </si>
  <si>
    <t>حذف الصنف</t>
  </si>
  <si>
    <t>اجماليات الشراء</t>
  </si>
  <si>
    <t>premier key</t>
  </si>
  <si>
    <t>رقم فاتورة المورد</t>
  </si>
  <si>
    <t>نوع الدفع</t>
  </si>
  <si>
    <t>المورد</t>
  </si>
  <si>
    <t>المخزن</t>
  </si>
  <si>
    <t xml:space="preserve">اجمالى الجمهور </t>
  </si>
  <si>
    <t>اجمالى الشراء</t>
  </si>
  <si>
    <t>عدد الاصناف</t>
  </si>
  <si>
    <t>اجمالى الربح</t>
  </si>
  <si>
    <t>اجمالى الضريبة</t>
  </si>
  <si>
    <t>الخصم النقدى</t>
  </si>
  <si>
    <t>مصروفات اضافية</t>
  </si>
  <si>
    <t>اجمالى المستحق</t>
  </si>
  <si>
    <t>اجمالى المسدد</t>
  </si>
  <si>
    <t>اجمالى المتبقى</t>
  </si>
  <si>
    <t>باركود الفاتورة</t>
  </si>
  <si>
    <t>تفاصيل الفاتورة</t>
  </si>
  <si>
    <t>رقم رأس الفاتورة الشراء</t>
  </si>
  <si>
    <t>رقم رأس الفاتورة مرتجع الشراء</t>
  </si>
  <si>
    <t>سعر بيع الوحدة</t>
  </si>
  <si>
    <t>وحدة الصنف</t>
  </si>
  <si>
    <t>رصيد الحالى لصنف</t>
  </si>
  <si>
    <t>كمية الشراء</t>
  </si>
  <si>
    <t>تاريخ الصلاحية لمشتراه</t>
  </si>
  <si>
    <t xml:space="preserve">اجمالى الشراء </t>
  </si>
  <si>
    <t>سعر شراء الوحدة</t>
  </si>
  <si>
    <t xml:space="preserve">اجمالى البيع </t>
  </si>
  <si>
    <t>اجمالى ض</t>
  </si>
  <si>
    <t>ربح الوحدة</t>
  </si>
  <si>
    <t>اجمالى ربح الصنف</t>
  </si>
  <si>
    <t>كمية مرتجع الشراء</t>
  </si>
  <si>
    <t>سعر المرتجع</t>
  </si>
  <si>
    <t>اجمالى المرتجع سعرالبيع *كمية</t>
  </si>
  <si>
    <t>اجمالى المرتجع المشتراة</t>
  </si>
  <si>
    <t>ملاحظات الخاصة بالمرتجع</t>
  </si>
  <si>
    <t>هل الصنف دا تم استرجاعه ام لا</t>
  </si>
  <si>
    <t>Stock</t>
  </si>
  <si>
    <t>other</t>
  </si>
  <si>
    <t>total</t>
  </si>
  <si>
    <t>Zakaaa</t>
  </si>
  <si>
    <t>ItemBarcode</t>
  </si>
  <si>
    <t>ItemSalePrice</t>
  </si>
  <si>
    <t>ItemTotalSalePrice</t>
  </si>
  <si>
    <t>ItemDiscound</t>
  </si>
  <si>
    <t>ItemBuyPrice</t>
  </si>
  <si>
    <t>ItemTotalBuyPrice</t>
  </si>
  <si>
    <t>ItemTax</t>
  </si>
  <si>
    <t>ItemTotalTax</t>
  </si>
  <si>
    <t>ItemNotes</t>
  </si>
  <si>
    <t>*</t>
  </si>
  <si>
    <t>اجمالى  الجمهور = سعر الجمهور * الكمية المشتراه</t>
  </si>
  <si>
    <t>سعر الشراء = سعر الجمهور - ((سعر الجمهور * الخصم) / 100)</t>
  </si>
  <si>
    <t>اجمالى الشراء = سعر الشراء * الكمية المشتراه</t>
  </si>
  <si>
    <t>اجمالى الجمهور = اجمالى الجمهور - ((اجمالى الجمهور * الخصم) / 100)</t>
  </si>
  <si>
    <t>اجمالى ضريبة الوحدة = ضريبة الوحدة * الكمية المشتراه</t>
  </si>
  <si>
    <t>الخصم =( 1 - (سعر الشراء / سعر الجمهور)) * 100)</t>
  </si>
  <si>
    <t>الخصم **</t>
  </si>
  <si>
    <t>***</t>
  </si>
  <si>
    <t>**</t>
  </si>
  <si>
    <t>سعر الشراء *</t>
  </si>
  <si>
    <t>المطلوب = اجمالى المشتريات + اجمالى الضرائب + اجمالى المصروفات - الخصم النقدى</t>
  </si>
  <si>
    <t>المتبقى = المطلوب - المدفوع</t>
  </si>
  <si>
    <t>ربح الوحدة = سعر بيع الوحدة - سعر الشراء + ضريبة الوحدة</t>
  </si>
  <si>
    <t>اجمالى ربح الوحدة = الكمية المشتراة * ربح الوحدة</t>
  </si>
  <si>
    <t>اجمالى ربح الفاتورة = اجمالى الجمهور - اجمالى الشراء + اجمالى الضرائب</t>
  </si>
  <si>
    <t>ItemOperID</t>
  </si>
  <si>
    <t>ItemOperName</t>
  </si>
  <si>
    <t>ItemOperBuyBillID</t>
  </si>
  <si>
    <t>ItemOperReBuyBillID</t>
  </si>
  <si>
    <t>ItemOperSaleBillID</t>
  </si>
  <si>
    <t>ItemOperReSaleBillID</t>
  </si>
  <si>
    <t>ItemOperSupplierID</t>
  </si>
  <si>
    <t>ItemOperCustomerID</t>
  </si>
  <si>
    <t>ItemOperItemID</t>
  </si>
  <si>
    <t>ItemOperItemSalePrice</t>
  </si>
  <si>
    <t>decimal(18,3)</t>
  </si>
  <si>
    <t>ItemOperNetSalePrice</t>
  </si>
  <si>
    <t>ItemOperItemUnitName</t>
  </si>
  <si>
    <t>ItemOperItemBalance</t>
  </si>
  <si>
    <t>ItemOperItemQunatityLarge</t>
  </si>
  <si>
    <t>ItemOperItemQuantityMedium</t>
  </si>
  <si>
    <t>ItemOperItemQuantitySmall</t>
  </si>
  <si>
    <t>ItemOperItemExpiry</t>
  </si>
  <si>
    <t>ItemOperItemQuantityOfExpiry</t>
  </si>
  <si>
    <t>ItemOperTotalSalePrice</t>
  </si>
  <si>
    <t>ItemOperTotalFreeSalePrice</t>
  </si>
  <si>
    <t>ItemOperItemDiscound</t>
  </si>
  <si>
    <t>ItemOperItemBuyPrice</t>
  </si>
  <si>
    <t>ItemOperTotalBuyPrice</t>
  </si>
  <si>
    <t>ItemOperUnitEarn</t>
  </si>
  <si>
    <t>ItemOperTotalEarn</t>
  </si>
  <si>
    <t>ItemOperUnitTax</t>
  </si>
  <si>
    <t>ItemOperTotalTax</t>
  </si>
  <si>
    <t>ItemOperNotes</t>
  </si>
  <si>
    <t>ItemOperDate</t>
  </si>
  <si>
    <t>ItemOperTime</t>
  </si>
  <si>
    <t>ItemOperWhoAdded</t>
  </si>
  <si>
    <t>ItemOperWhoWhoModified</t>
  </si>
  <si>
    <t>ItemOperWhoWhoDeleted</t>
  </si>
  <si>
    <t>ItemOperStatus</t>
  </si>
  <si>
    <t xml:space="preserve">ItemOprations جدول حركات الاصناف
بالنسبة للعمليات الشراء ومرتجع الشراء والبيع ومرتجع البيع  </t>
  </si>
  <si>
    <t>ItemOperBuyID</t>
  </si>
  <si>
    <t>ItemOperReBuyID</t>
  </si>
  <si>
    <t>ItemOperSaleID</t>
  </si>
  <si>
    <t>ItemOperReSaleID</t>
  </si>
  <si>
    <t>BuyBill</t>
  </si>
  <si>
    <t>OK</t>
  </si>
  <si>
    <t>ItemOperBranchID</t>
  </si>
  <si>
    <t>ItemOperStoreID</t>
  </si>
  <si>
    <t>ItemOperNetSalePrice صافى سعر البيع
 فى فاتورة البيع فقط = سعر البيع - الخصم لصالح العميل</t>
  </si>
  <si>
    <t>Dgv - الداتا جراد فيو</t>
  </si>
  <si>
    <t>حساب الكميات وفقاً للوحدات الثلاثة</t>
  </si>
  <si>
    <t>اذا كانت الكمية بالوحدة الكبرى</t>
  </si>
  <si>
    <t>الكمية بالوحدة الكبرى = المعطى</t>
  </si>
  <si>
    <t>الكمية بالوحدة الوسطى = الكمية الكبرى * معامل تحويل الوسطى</t>
  </si>
  <si>
    <t>الكمية بالوحدة الصغرى = الكمية بالوحدة الوسطى *  معامل تحويل الصغرى</t>
  </si>
  <si>
    <t>اذا كانت الكمية بالوحدة المتوسطة</t>
  </si>
  <si>
    <t>الكمية بالوحدة الكبرى = الكمية بالوحدة المتوسطة /  معامل تحويل الوسطى</t>
  </si>
  <si>
    <t>الكمية بالوحدة الوسطى = المعطى</t>
  </si>
  <si>
    <t>اذا كانت الكمية بالوحدة الصغرى</t>
  </si>
  <si>
    <t>الكمية بالوحدة الصغرى =  المعطى</t>
  </si>
  <si>
    <t>الكمية بالوحدة الوسطى = الكمية بالوحدة الصغرى /  معامل تحويل الصغرى</t>
  </si>
  <si>
    <t>الكمية بالوحدة الكبرى = ((الكمية بالوحدة الصغرى /  معامل تحويل الصغرى) / معامل تحويل الوسطى )</t>
  </si>
  <si>
    <t>Columns of DataGridView</t>
  </si>
  <si>
    <t>تاريخ الإنشاء</t>
  </si>
  <si>
    <t>فاتورة الشراء</t>
  </si>
  <si>
    <t>مرتجع الشراء</t>
  </si>
  <si>
    <t>صرف النقدية</t>
  </si>
  <si>
    <t>توريد نقدية</t>
  </si>
  <si>
    <t>تعاملات الخاصة بالمورد</t>
  </si>
  <si>
    <t>كشف حساب المورد  Supplier Account Statement</t>
  </si>
  <si>
    <t>التاريخ</t>
  </si>
  <si>
    <t>نوع الحركة</t>
  </si>
  <si>
    <t>مدين</t>
  </si>
  <si>
    <t>دائن</t>
  </si>
  <si>
    <t xml:space="preserve">الرصيد </t>
  </si>
  <si>
    <t>البيان</t>
  </si>
  <si>
    <t>إضافة مورد</t>
  </si>
  <si>
    <t>إنشاء مورد برصيد 3000ج</t>
  </si>
  <si>
    <t>ف شراء</t>
  </si>
  <si>
    <t>مشتريات بالمورد</t>
  </si>
  <si>
    <t>مرتجع شراء</t>
  </si>
  <si>
    <t>مرتجعات الى المورد</t>
  </si>
  <si>
    <t>صرف نقدية</t>
  </si>
  <si>
    <t>استلام نقدية</t>
  </si>
  <si>
    <t>SupAccID</t>
  </si>
  <si>
    <t>SupAccSupplierID</t>
  </si>
  <si>
    <t>SupAccBillID</t>
  </si>
  <si>
    <t>SupAccOperationName</t>
  </si>
  <si>
    <t>SuppAccDebit</t>
  </si>
  <si>
    <t>SuppAccCredit</t>
  </si>
  <si>
    <t>SuppAccBalance</t>
  </si>
  <si>
    <t>Nvarchar(350)</t>
  </si>
  <si>
    <t>SuppAccNotes</t>
  </si>
  <si>
    <t>SupAccWhoAdded</t>
  </si>
  <si>
    <t>SupAccStatus</t>
  </si>
  <si>
    <t>SupAccDate</t>
  </si>
  <si>
    <t>SupAccTime</t>
  </si>
  <si>
    <t>SupplierAccount Table</t>
  </si>
  <si>
    <t>d</t>
  </si>
  <si>
    <t>SupAccDebit</t>
  </si>
  <si>
    <t>SupAccCredit</t>
  </si>
  <si>
    <t>SupAccBalance</t>
  </si>
  <si>
    <t>BuyBillID</t>
  </si>
  <si>
    <t>BuyBillDate</t>
  </si>
  <si>
    <t>StoreName</t>
  </si>
  <si>
    <t>SupplierName</t>
  </si>
  <si>
    <t>BuyBillNo</t>
  </si>
  <si>
    <t>BuyBillType</t>
  </si>
  <si>
    <t>ItemCOunt</t>
  </si>
  <si>
    <t>BuyPillTotalG</t>
  </si>
  <si>
    <t>BuyPillTotalB</t>
  </si>
  <si>
    <t>BuyPillWanted</t>
  </si>
  <si>
    <t>BuyPillPaid</t>
  </si>
  <si>
    <t>btnShow</t>
  </si>
  <si>
    <t>btnPrint</t>
  </si>
  <si>
    <t>DosageName</t>
  </si>
  <si>
    <t>ItemQtyL</t>
  </si>
  <si>
    <t>BuyDetailUnit</t>
  </si>
  <si>
    <t>BuyDetailQtyN</t>
  </si>
  <si>
    <t>BuyDetailExpiry</t>
  </si>
  <si>
    <t>BuyDetailTotalG</t>
  </si>
  <si>
    <t>BuyDetailitemPrice</t>
  </si>
  <si>
    <t>BuyDetailTotalB</t>
  </si>
  <si>
    <t>BuyDetailCompany</t>
  </si>
  <si>
    <t>Columns of DataGridView 
Of ReBuy</t>
  </si>
  <si>
    <t>كمية المرتجع</t>
  </si>
  <si>
    <t>اجمالى المرتجع</t>
  </si>
  <si>
    <t>ملاحظات المرتجع</t>
  </si>
  <si>
    <t>BuyBillSupplierID</t>
  </si>
  <si>
    <t>BuyBillSupplierName</t>
  </si>
  <si>
    <t>BuyBillStoreID</t>
  </si>
  <si>
    <t>BuyBillStoreIName</t>
  </si>
  <si>
    <t>BuyBillBranchID</t>
  </si>
  <si>
    <t>BuyBillBranchName</t>
  </si>
  <si>
    <t>BuyBillCustomID</t>
  </si>
  <si>
    <t>BuyBillPayType</t>
  </si>
  <si>
    <t>BuyDetailTime</t>
  </si>
  <si>
    <t>Count of Results</t>
  </si>
  <si>
    <t>Count of Item Rebuy</t>
  </si>
  <si>
    <t>RebuyTotalG</t>
  </si>
  <si>
    <t>RebuyTotalB</t>
  </si>
  <si>
    <t>RebuyAmountRequired</t>
  </si>
  <si>
    <t>RebuyAmountPaid</t>
  </si>
  <si>
    <t>RebuyAmountRemain</t>
  </si>
  <si>
    <t>DateTime.Now.ToString("yyyy-MM-dd"), DateTime.Now.ToString("yyyy-MM-dd hh:mm:ss tt"));</t>
  </si>
  <si>
    <t>Panadol</t>
  </si>
  <si>
    <t>Careem</t>
  </si>
  <si>
    <t xml:space="preserve"> LargeUnitName/No </t>
  </si>
  <si>
    <t xml:space="preserve"> MediumUnitName/No</t>
  </si>
  <si>
    <t xml:space="preserve">  SmallUnitName/No</t>
  </si>
  <si>
    <t xml:space="preserve"> علبة / 1</t>
  </si>
  <si>
    <t>Asprin</t>
  </si>
  <si>
    <t>Carbon</t>
  </si>
  <si>
    <t>شيط / 2</t>
  </si>
  <si>
    <t>شيط / 3</t>
  </si>
  <si>
    <t xml:space="preserve">قرص /4 </t>
  </si>
  <si>
    <t xml:space="preserve">قرص /6 </t>
  </si>
  <si>
    <t>شريط/5</t>
  </si>
  <si>
    <t xml:space="preserve">قرص /10 </t>
  </si>
  <si>
    <t>Done</t>
  </si>
  <si>
    <t>اسبرين</t>
  </si>
  <si>
    <t>كربون 1000</t>
  </si>
  <si>
    <t>باندول</t>
  </si>
  <si>
    <t>كريم لتدليك القدم</t>
  </si>
  <si>
    <t xml:space="preserve"> barcode</t>
  </si>
  <si>
    <t>item id</t>
  </si>
  <si>
    <t>item name</t>
  </si>
  <si>
    <t>dosage form</t>
  </si>
  <si>
    <t>balance</t>
  </si>
  <si>
    <t>sale price</t>
  </si>
  <si>
    <t>unit name</t>
  </si>
  <si>
    <t>qty</t>
  </si>
  <si>
    <t>expr</t>
  </si>
  <si>
    <t>qtyexpr available</t>
  </si>
  <si>
    <t>totalg</t>
  </si>
  <si>
    <t>discound</t>
  </si>
  <si>
    <t>buy price</t>
  </si>
  <si>
    <t>totalfree G</t>
  </si>
  <si>
    <t>tax</t>
  </si>
  <si>
    <t>total tax</t>
  </si>
  <si>
    <t>location</t>
  </si>
  <si>
    <t>company</t>
  </si>
  <si>
    <t>notes</t>
  </si>
  <si>
    <t>btn delete</t>
  </si>
  <si>
    <t>SaleBillID</t>
  </si>
  <si>
    <t>SaleBillDate</t>
  </si>
  <si>
    <t>SaleBillTime</t>
  </si>
  <si>
    <t>SaleBillStatus</t>
  </si>
  <si>
    <t>SaleBillWhoAdded</t>
  </si>
  <si>
    <t>SaleBillNotes</t>
  </si>
  <si>
    <t>SaleBillType</t>
  </si>
  <si>
    <t>SaleBillStore</t>
  </si>
  <si>
    <t>SaleBillBranch</t>
  </si>
  <si>
    <t>SaleBillCustomer</t>
  </si>
  <si>
    <t>SaleBillTotalG</t>
  </si>
  <si>
    <t>SaleBillTotalFreeG</t>
  </si>
  <si>
    <t>SaleBillTotalB</t>
  </si>
  <si>
    <t>SaleBillItemCount</t>
  </si>
  <si>
    <t>SaleBillITotalEarn</t>
  </si>
  <si>
    <t>SaleBillITotalTax</t>
  </si>
  <si>
    <t>SaleBillITotalDiscound</t>
  </si>
  <si>
    <t>SaleBillITotalExpenses</t>
  </si>
  <si>
    <t>SaleBillITotalRequired</t>
  </si>
  <si>
    <t>SaleBillITotalPaid</t>
  </si>
  <si>
    <t>SaleBillITotalRemain</t>
  </si>
  <si>
    <t>SalesBill Table</t>
  </si>
  <si>
    <t>SalesDetails Table</t>
  </si>
  <si>
    <t>SaleDetailID</t>
  </si>
  <si>
    <t>SaleDetailSaleID</t>
  </si>
  <si>
    <t>SaleDetailReSaleID</t>
  </si>
  <si>
    <t>SaleDetailItemID</t>
  </si>
  <si>
    <t>SaleDetailItemSalePrice</t>
  </si>
  <si>
    <t>SaleDetailItemUnit</t>
  </si>
  <si>
    <t>SaleDetailItemBalance</t>
  </si>
  <si>
    <t>SaleDetailSaleQuantity</t>
  </si>
  <si>
    <t>SaleDetailSaleExpiry</t>
  </si>
  <si>
    <t>SaleDetailDiscound</t>
  </si>
  <si>
    <t>SaleDetailItemTax</t>
  </si>
  <si>
    <t>SaleDetailTotalTax</t>
  </si>
  <si>
    <t>SaleDetailUnitEarn</t>
  </si>
  <si>
    <t>SaleDetailTotalEarn</t>
  </si>
  <si>
    <t>SaleDetailNotes</t>
  </si>
  <si>
    <t>SalePillDate</t>
  </si>
  <si>
    <t>SalePillTime</t>
  </si>
  <si>
    <t>SalePillWhoAdded</t>
  </si>
  <si>
    <t>SalePillWhoWhoModified</t>
  </si>
  <si>
    <t>SalePillWhoWhoDeleted</t>
  </si>
  <si>
    <t>SalePillStatus</t>
  </si>
  <si>
    <t>SaleDetailReSaleQuantity</t>
  </si>
  <si>
    <t>SaleDetailReSaleprice</t>
  </si>
  <si>
    <t>SaleDetailReSaleTotalG</t>
  </si>
  <si>
    <t>SaleDetailReSaleTotalB</t>
  </si>
  <si>
    <t>SaleDetailReSaleNotes</t>
  </si>
  <si>
    <t>SaleDetailReSaleItemReturn</t>
  </si>
  <si>
    <t>ReSalePillDate</t>
  </si>
  <si>
    <t>ReSalePillTime</t>
  </si>
  <si>
    <t>SaleDetailItemFreeSalePrice</t>
  </si>
  <si>
    <t>SaleDetailSaleExpiryQuantity</t>
  </si>
  <si>
    <t>SaleDetailTotalSale (TotalG)</t>
  </si>
  <si>
    <t>SaleDetailTotalFreeSale (TotalFreeG)</t>
  </si>
  <si>
    <t>SaleDetailItemBuyPrice</t>
  </si>
  <si>
    <t>SaleDetailTotalBuyforUnit (TotalB)</t>
  </si>
  <si>
    <t>Series 75</t>
  </si>
  <si>
    <t>Carbon 2</t>
  </si>
  <si>
    <t>Panadol 3</t>
  </si>
  <si>
    <t>Careem 4</t>
  </si>
  <si>
    <t>Asprin 1</t>
  </si>
  <si>
    <t xml:space="preserve">SalesBill </t>
  </si>
  <si>
    <t>item Balance -</t>
  </si>
  <si>
    <t>SalesDetails</t>
  </si>
  <si>
    <t>CustomerBal</t>
  </si>
  <si>
    <t>CustomerAcc</t>
  </si>
  <si>
    <t>expenses</t>
  </si>
  <si>
    <t>حساب صافى اجمالى الجمهور على حسب الخصم</t>
  </si>
  <si>
    <t>اذا كان الخصم نسبة</t>
  </si>
  <si>
    <t>اذا كان الخصم قيمة</t>
  </si>
  <si>
    <t>صافى اجمالى الجمهور = صافى اجمالى الجمهور - ( صافى اجمالى الجمهور * خصم %)</t>
  </si>
  <si>
    <t>صافى اجمالى الجمهور = صافى اجمالى الجمهور - الخصم قيمة</t>
  </si>
  <si>
    <t>NULL</t>
  </si>
  <si>
    <t>2021-02</t>
  </si>
  <si>
    <t>2021-03</t>
  </si>
  <si>
    <t>2021-05</t>
  </si>
  <si>
    <t>2021-06</t>
  </si>
  <si>
    <t>2022-11</t>
  </si>
  <si>
    <t>N1</t>
  </si>
  <si>
    <t>N2</t>
  </si>
  <si>
    <t>N3</t>
  </si>
  <si>
    <t>N4</t>
  </si>
  <si>
    <t>N5</t>
  </si>
  <si>
    <t>N6</t>
  </si>
  <si>
    <t>N7</t>
  </si>
  <si>
    <t>PC Name- DESKTOP-K5I0AT6 IP- fe80::9f1:d3b4:7784:a</t>
  </si>
  <si>
    <t>INRS-000004</t>
  </si>
  <si>
    <t>السيد حسن العرابى</t>
  </si>
  <si>
    <t>علبة</t>
  </si>
  <si>
    <t>لا توجد</t>
  </si>
  <si>
    <t>شريط</t>
  </si>
  <si>
    <t>قرص</t>
  </si>
  <si>
    <t>2021-07</t>
  </si>
  <si>
    <t>ReSaleID</t>
  </si>
  <si>
    <t>ReSaleCustomID</t>
  </si>
  <si>
    <t>ReSaleTotalSaleAmount</t>
  </si>
  <si>
    <t>ReSaleTotalBuyAmount</t>
  </si>
  <si>
    <t>ReSaleItemsCount</t>
  </si>
  <si>
    <t>ReSaleTotalAmount</t>
  </si>
  <si>
    <t>ReSaleTotalPaid</t>
  </si>
  <si>
    <t>ReSaleTotalRemain</t>
  </si>
  <si>
    <t>ReSaleNotes</t>
  </si>
  <si>
    <t>ReSaleWhoAdded</t>
  </si>
  <si>
    <t>ReSaleWhoModified</t>
  </si>
  <si>
    <t>ReSaleWhoDeleted</t>
  </si>
  <si>
    <t>ReSaleStatus</t>
  </si>
  <si>
    <t>ReSaleDate</t>
  </si>
  <si>
    <t>ReSaleTime</t>
  </si>
  <si>
    <t>رقم الفاتورة</t>
  </si>
  <si>
    <t>كود الفاتورة</t>
  </si>
  <si>
    <t>رقم العميل</t>
  </si>
  <si>
    <t>رقم المخزن</t>
  </si>
  <si>
    <t>رقم الفرع</t>
  </si>
  <si>
    <t>ملاحظات الفاتورة</t>
  </si>
  <si>
    <t>تاريخ إصدار فاتورة البيع</t>
  </si>
  <si>
    <t>اجمالى الفاتورة بسعر البيع</t>
  </si>
  <si>
    <t>صافى الفاتورة بسعر البيع</t>
  </si>
  <si>
    <t>اجمالى الفاتورة بسعر الشراء</t>
  </si>
  <si>
    <t>اجمالى الربح من الفاتورة</t>
  </si>
  <si>
    <t>اجمالى الضريبة على الفاتورة</t>
  </si>
  <si>
    <t>اجمالى الخصم النقدى على الفاتورة</t>
  </si>
  <si>
    <t>قيمة المصروفات الاضافية</t>
  </si>
  <si>
    <t>اجمالى قيمة الفاتورة</t>
  </si>
  <si>
    <t>القيمة المدفوعة</t>
  </si>
  <si>
    <t>القيمة المتبقية</t>
  </si>
  <si>
    <t>حالة الفاتورة</t>
  </si>
  <si>
    <t>تاريخ إضافة الفاتورة</t>
  </si>
  <si>
    <t>وقت إضافة الفاتورة</t>
  </si>
  <si>
    <t>كود الصنف</t>
  </si>
  <si>
    <t>اسم الصنف</t>
  </si>
  <si>
    <t>الصنف بالانجليزى</t>
  </si>
  <si>
    <t>باركود الاول للصنف</t>
  </si>
  <si>
    <t>الباركود الثانى للصنف</t>
  </si>
  <si>
    <t>الباركود الثالث</t>
  </si>
  <si>
    <t>رقم الوحدة كبرى</t>
  </si>
  <si>
    <t>وحدة الصنف الكبرى</t>
  </si>
  <si>
    <t>رصيد الوحدات الكبرى</t>
  </si>
  <si>
    <t>رقم الوحدة الوسطى</t>
  </si>
  <si>
    <t>الوحدة الوسطى للصنف</t>
  </si>
  <si>
    <t>رصيد الوحدات الوسطى</t>
  </si>
  <si>
    <t>رقم الوحدة الصغرى</t>
  </si>
  <si>
    <t>الوحدة الصغرى للصنف</t>
  </si>
  <si>
    <t>رصيد الوحدات الصغرى</t>
  </si>
  <si>
    <t>رقم الشكل الدوائى</t>
  </si>
  <si>
    <t>اسم الشكل الدوائى</t>
  </si>
  <si>
    <t>رقم العلمى للدواء</t>
  </si>
  <si>
    <t>الاسم العلمى</t>
  </si>
  <si>
    <t>رقم القسم الطبى</t>
  </si>
  <si>
    <t>القسم الطبى</t>
  </si>
  <si>
    <t>رقم المجموعة العلمية</t>
  </si>
  <si>
    <t>رقم الشركة المنتجة</t>
  </si>
  <si>
    <t>رقم مكان الوحدة</t>
  </si>
  <si>
    <t>كود العميل</t>
  </si>
  <si>
    <t>اسم العميل</t>
  </si>
  <si>
    <t>رقم هاتف العميل الاول</t>
  </si>
  <si>
    <t>رقم هاتف العميل الثانى</t>
  </si>
  <si>
    <t>فاكس العميل</t>
  </si>
  <si>
    <t>عنوان العميل</t>
  </si>
  <si>
    <t>ايميل العميل</t>
  </si>
  <si>
    <t>نوع العميل</t>
  </si>
  <si>
    <t>شركة تابعة لها العميل</t>
  </si>
  <si>
    <t>حد ائتمان العميل</t>
  </si>
  <si>
    <t>خصم العميل</t>
  </si>
  <si>
    <t>رصيد العميل</t>
  </si>
  <si>
    <t>حالة رصيد العميل</t>
  </si>
  <si>
    <t>كود الفرع</t>
  </si>
  <si>
    <t>اسم الفرع</t>
  </si>
  <si>
    <t>رقم هاتف الفرع</t>
  </si>
  <si>
    <t>عنوان الفرع</t>
  </si>
  <si>
    <t>فاكس الفرع</t>
  </si>
  <si>
    <t>كود المخزن</t>
  </si>
  <si>
    <t>اسم المخزن</t>
  </si>
  <si>
    <t>رقم هاتف المخزن</t>
  </si>
  <si>
    <t>عنوان المخزن</t>
  </si>
  <si>
    <t>نوع المخزن</t>
  </si>
  <si>
    <t>رقم فاتورة مرتجع البيع</t>
  </si>
  <si>
    <t>وحدة الصنف بالفاتورة</t>
  </si>
  <si>
    <t>رصيد الصنف بالفاتورة</t>
  </si>
  <si>
    <t>سعر بيع بالفاتورة</t>
  </si>
  <si>
    <t>صافى سعر البيع بالفاتورة</t>
  </si>
  <si>
    <t>سعر شراء بالفاتورة</t>
  </si>
  <si>
    <t>الكمية المباعة بالفاتورة</t>
  </si>
  <si>
    <t>تاريح صلاحية الصنف بالفاتورة</t>
  </si>
  <si>
    <t>الكمية المتاحة وفقا للصلاحية بالفاتورة</t>
  </si>
  <si>
    <t>اجمالى الصنف بسعر البيع</t>
  </si>
  <si>
    <t>صافى الصنف بسعر البيع</t>
  </si>
  <si>
    <t>اجمالى الصنف بسعر الشراء</t>
  </si>
  <si>
    <t>اجمالى خصم الصنف</t>
  </si>
  <si>
    <t>ضريبة الوحدة من الصنف</t>
  </si>
  <si>
    <t>اجمالى ضريبة الصنف</t>
  </si>
  <si>
    <t>ربح الوحدة من الصنف</t>
  </si>
  <si>
    <t>ملاحظات الصنف</t>
  </si>
  <si>
    <t>الكمية المرتجعة من الصنف</t>
  </si>
  <si>
    <t>سعر بيع المرتجع</t>
  </si>
  <si>
    <t>اجمالى المرتجع بسعر البيع</t>
  </si>
  <si>
    <t>اجمالى المرتجع بسعر الشراء</t>
  </si>
  <si>
    <t>حالة الصنف المرتجع</t>
  </si>
  <si>
    <t>حالة الصنف</t>
  </si>
  <si>
    <t>تاريخ اضافة الصنف</t>
  </si>
  <si>
    <t>وقت اضافة الصنف</t>
  </si>
  <si>
    <t>كود الداخلى للفاتورة المرتجع</t>
  </si>
  <si>
    <t>كود فاتورة مرتجع البيع</t>
  </si>
  <si>
    <t>اجمالى فاتورة المرتجع بسعر البيع</t>
  </si>
  <si>
    <t>اجمالى فاتورة المرتجع بسعر الشراء</t>
  </si>
  <si>
    <t>عدد الاصناف المرتجعة</t>
  </si>
  <si>
    <t>اجمالى قيمة فاتورة المرتجع</t>
  </si>
  <si>
    <t>اجمالى القيمة المدفوعة</t>
  </si>
  <si>
    <t>اجمالى القبمة المتبقية</t>
  </si>
  <si>
    <t>ملاحظات فاتورة المرتجع</t>
  </si>
  <si>
    <t>حالة فاتورة المرتجع</t>
  </si>
  <si>
    <t>تاريخ فاتورة مرتجع البيع</t>
  </si>
  <si>
    <t>وقت فاتورة المرتجع</t>
  </si>
  <si>
    <t>INVS-000028</t>
  </si>
  <si>
    <t>آجل</t>
  </si>
  <si>
    <t>Item-000003</t>
  </si>
  <si>
    <t>panadol</t>
  </si>
  <si>
    <t>كبسول</t>
  </si>
  <si>
    <t>Brastamol 500 MG</t>
  </si>
  <si>
    <t>المسكنات</t>
  </si>
  <si>
    <t>مجموعة الاوعية الدموية</t>
  </si>
  <si>
    <t>شركة الفانس</t>
  </si>
  <si>
    <t>الرف الأول A-B</t>
  </si>
  <si>
    <t>CUST-000018</t>
  </si>
  <si>
    <t>قرية ميت نما - شبرامنت الجيزة</t>
  </si>
  <si>
    <t>عميل نقدى</t>
  </si>
  <si>
    <t>العربى جروب</t>
  </si>
  <si>
    <t>Bran-000001</t>
  </si>
  <si>
    <t>تنمتمتبلمتم</t>
  </si>
  <si>
    <t>STOR-000001</t>
  </si>
  <si>
    <t>kjljkljkljl</t>
  </si>
  <si>
    <t>ljfdjljkl</t>
  </si>
  <si>
    <t>مخزن سرى</t>
  </si>
  <si>
    <t>Item-000002</t>
  </si>
  <si>
    <t>Carboon</t>
  </si>
  <si>
    <t>مضغ</t>
  </si>
  <si>
    <t>Navadol 1000</t>
  </si>
  <si>
    <t>ادوية الباطنة</t>
  </si>
  <si>
    <t>شركة المصرية لصناعة الأدوية</t>
  </si>
  <si>
    <t>الرف الثانى A-C</t>
  </si>
  <si>
    <t>Item-000004</t>
  </si>
  <si>
    <t>امبول</t>
  </si>
  <si>
    <t>volaterion 500</t>
  </si>
  <si>
    <t>مجموعة ضغط الدم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</si>
</sst>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00"/>
    <numFmt numFmtId="167" formatCode="0.000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Fill="1" applyBorder="1"/>
    <xf numFmtId="0" fontId="8" fillId="0" borderId="0" xfId="0" applyFont="1" applyAlignment="1">
      <alignment horizontal="center" vertical="center" textRotation="90" wrapText="1"/>
    </xf>
    <xf numFmtId="0" fontId="9" fillId="0" borderId="0" xfId="0" applyFont="1"/>
    <xf numFmtId="0" fontId="10" fillId="3" borderId="15" xfId="0" applyFont="1" applyFill="1" applyBorder="1" applyAlignment="1">
      <alignment horizontal="center" vertical="center"/>
    </xf>
    <xf numFmtId="164" fontId="5" fillId="3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/>
    <xf numFmtId="165" fontId="5" fillId="3" borderId="15" xfId="0" applyNumberFormat="1" applyFont="1" applyFill="1" applyBorder="1" applyAlignment="1">
      <alignment horizontal="center" vertical="center"/>
    </xf>
    <xf numFmtId="2" fontId="0" fillId="0" borderId="0" xfId="0" applyNumberFormat="1"/>
    <xf numFmtId="166" fontId="0" fillId="0" borderId="0" xfId="0" applyNumberFormat="1"/>
    <xf numFmtId="0" fontId="0" fillId="0" borderId="15" xfId="0" applyBorder="1"/>
    <xf numFmtId="0" fontId="0" fillId="0" borderId="28" xfId="0" applyBorder="1"/>
    <xf numFmtId="0" fontId="0" fillId="3" borderId="28" xfId="0" applyFill="1" applyBorder="1"/>
    <xf numFmtId="0" fontId="0" fillId="3" borderId="15" xfId="0" applyFill="1" applyBorder="1"/>
    <xf numFmtId="0" fontId="5" fillId="4" borderId="15" xfId="0" applyFont="1" applyFill="1" applyBorder="1" applyAlignment="1">
      <alignment horizontal="center" vertical="center"/>
    </xf>
    <xf numFmtId="164" fontId="5" fillId="4" borderId="15" xfId="0" applyNumberFormat="1" applyFont="1" applyFill="1" applyBorder="1" applyAlignment="1">
      <alignment horizontal="center" vertical="center"/>
    </xf>
    <xf numFmtId="0" fontId="5" fillId="4" borderId="0" xfId="0" applyFont="1" applyFill="1"/>
    <xf numFmtId="0" fontId="7" fillId="0" borderId="0" xfId="0" applyFont="1"/>
    <xf numFmtId="167" fontId="0" fillId="0" borderId="0" xfId="0" applyNumberFormat="1"/>
    <xf numFmtId="165" fontId="5" fillId="4" borderId="15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31" xfId="0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textRotation="90" wrapText="1"/>
    </xf>
    <xf numFmtId="0" fontId="7" fillId="3" borderId="13" xfId="0" applyFont="1" applyFill="1" applyBorder="1" applyAlignment="1">
      <alignment horizontal="center" vertical="center" textRotation="90" wrapText="1"/>
    </xf>
    <xf numFmtId="0" fontId="7" fillId="3" borderId="14" xfId="0" applyFont="1" applyFill="1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/>
    </xf>
    <xf numFmtId="0" fontId="8" fillId="0" borderId="0" xfId="0" applyFont="1" applyAlignment="1">
      <alignment horizontal="center" vertical="center" textRotation="90" wrapText="1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0"/>
  <sheetViews>
    <sheetView topLeftCell="K23" workbookViewId="0">
      <selection activeCell="J2" sqref="J2:L36"/>
    </sheetView>
  </sheetViews>
  <sheetFormatPr defaultColWidth="9.109375" defaultRowHeight="18" x14ac:dyDescent="0.3"/>
  <cols>
    <col min="1" max="1" width="22" style="4" bestFit="1" customWidth="1"/>
    <col min="2" max="2" width="26.88671875" style="4" bestFit="1" customWidth="1"/>
    <col min="3" max="3" width="11.33203125" style="4" customWidth="1"/>
    <col min="4" max="4" width="9.109375" style="4"/>
    <col min="5" max="5" width="8.6640625" style="4" bestFit="1" customWidth="1"/>
    <col min="6" max="6" width="29.5546875" style="4" bestFit="1" customWidth="1"/>
    <col min="7" max="7" width="17.88671875" style="4" bestFit="1" customWidth="1"/>
    <col min="8" max="8" width="17.88671875" style="4" customWidth="1"/>
    <col min="9" max="9" width="7.109375" style="4" customWidth="1"/>
    <col min="10" max="10" width="31.88671875" style="4" bestFit="1" customWidth="1"/>
    <col min="11" max="11" width="17.88671875" style="4" bestFit="1" customWidth="1"/>
    <col min="12" max="12" width="32.88671875" style="4" customWidth="1"/>
    <col min="13" max="13" width="9.109375" style="4"/>
    <col min="14" max="14" width="26.109375" style="4" bestFit="1" customWidth="1"/>
    <col min="15" max="15" width="32.88671875" style="4" bestFit="1" customWidth="1"/>
    <col min="16" max="18" width="9.109375" style="4"/>
    <col min="19" max="19" width="50.88671875" style="4" customWidth="1"/>
    <col min="20" max="20" width="20.6640625" style="4" customWidth="1"/>
    <col min="21" max="21" width="11" style="4" bestFit="1" customWidth="1"/>
    <col min="22" max="16384" width="9.109375" style="4"/>
  </cols>
  <sheetData>
    <row r="1" spans="1:21" ht="48.75" customHeight="1" x14ac:dyDescent="0.3">
      <c r="A1" s="3" t="s">
        <v>13</v>
      </c>
      <c r="B1" s="3" t="s">
        <v>12</v>
      </c>
      <c r="F1" s="54" t="s">
        <v>229</v>
      </c>
      <c r="G1" s="54"/>
      <c r="H1" s="4" t="s">
        <v>123</v>
      </c>
      <c r="J1" s="54" t="s">
        <v>24</v>
      </c>
      <c r="K1" s="54"/>
      <c r="L1" s="4" t="s">
        <v>140</v>
      </c>
      <c r="N1" s="56" t="s">
        <v>234</v>
      </c>
      <c r="O1" s="56"/>
      <c r="S1" s="55" t="s">
        <v>224</v>
      </c>
      <c r="T1" s="55"/>
      <c r="U1" s="4" t="s">
        <v>229</v>
      </c>
    </row>
    <row r="2" spans="1:21" x14ac:dyDescent="0.3">
      <c r="A2" s="4" t="s">
        <v>0</v>
      </c>
      <c r="B2" s="4" t="s">
        <v>20</v>
      </c>
      <c r="F2" s="4" t="s">
        <v>25</v>
      </c>
      <c r="G2" s="4" t="s">
        <v>26</v>
      </c>
      <c r="H2" s="4" t="s">
        <v>124</v>
      </c>
      <c r="J2" s="4" t="s">
        <v>57</v>
      </c>
      <c r="K2" s="4" t="s">
        <v>26</v>
      </c>
      <c r="L2" s="4" t="s">
        <v>124</v>
      </c>
      <c r="N2" s="4" t="s">
        <v>85</v>
      </c>
      <c r="O2" s="4" t="s">
        <v>104</v>
      </c>
      <c r="S2" s="4" t="s">
        <v>189</v>
      </c>
      <c r="T2" s="4" t="s">
        <v>26</v>
      </c>
      <c r="U2" s="4" t="s">
        <v>230</v>
      </c>
    </row>
    <row r="3" spans="1:21" x14ac:dyDescent="0.3">
      <c r="A3" s="4" t="s">
        <v>1</v>
      </c>
      <c r="B3" s="5" t="s">
        <v>18</v>
      </c>
      <c r="F3" s="5" t="s">
        <v>27</v>
      </c>
      <c r="G3" s="5" t="s">
        <v>28</v>
      </c>
      <c r="H3" s="5"/>
      <c r="I3" s="5"/>
      <c r="J3" s="4" t="s">
        <v>58</v>
      </c>
      <c r="K3" s="4" t="s">
        <v>26</v>
      </c>
      <c r="L3" s="4" t="s">
        <v>141</v>
      </c>
      <c r="N3" s="4" t="s">
        <v>86</v>
      </c>
      <c r="O3" s="4" t="s">
        <v>105</v>
      </c>
      <c r="S3" s="4" t="s">
        <v>190</v>
      </c>
      <c r="T3" s="4" t="s">
        <v>28</v>
      </c>
      <c r="U3" s="4" t="s">
        <v>230</v>
      </c>
    </row>
    <row r="4" spans="1:21" x14ac:dyDescent="0.3">
      <c r="A4" s="4" t="s">
        <v>2</v>
      </c>
      <c r="B4" s="5" t="s">
        <v>19</v>
      </c>
      <c r="F4" s="5" t="s">
        <v>29</v>
      </c>
      <c r="G4" s="5" t="s">
        <v>28</v>
      </c>
      <c r="H4" s="5"/>
      <c r="I4" s="5"/>
      <c r="J4" s="4" t="s">
        <v>59</v>
      </c>
      <c r="K4" s="4" t="s">
        <v>26</v>
      </c>
      <c r="L4" s="4" t="s">
        <v>142</v>
      </c>
      <c r="N4" s="4" t="s">
        <v>87</v>
      </c>
      <c r="O4" s="4" t="s">
        <v>106</v>
      </c>
      <c r="S4" s="4" t="s">
        <v>225</v>
      </c>
      <c r="T4" s="4" t="s">
        <v>26</v>
      </c>
      <c r="U4" s="4" t="s">
        <v>230</v>
      </c>
    </row>
    <row r="5" spans="1:21" x14ac:dyDescent="0.3">
      <c r="A5" s="4" t="s">
        <v>3</v>
      </c>
      <c r="B5" s="4" t="s">
        <v>21</v>
      </c>
      <c r="F5" s="5" t="s">
        <v>30</v>
      </c>
      <c r="G5" s="5" t="s">
        <v>28</v>
      </c>
      <c r="H5" s="5"/>
      <c r="I5" s="5"/>
      <c r="J5" s="4" t="s">
        <v>60</v>
      </c>
      <c r="K5" s="4" t="s">
        <v>26</v>
      </c>
      <c r="L5" s="4" t="s">
        <v>105</v>
      </c>
      <c r="N5" s="4" t="s">
        <v>88</v>
      </c>
      <c r="O5" s="4" t="s">
        <v>107</v>
      </c>
      <c r="S5" s="4" t="s">
        <v>226</v>
      </c>
      <c r="T5" s="4" t="s">
        <v>26</v>
      </c>
      <c r="U5" s="4" t="s">
        <v>21</v>
      </c>
    </row>
    <row r="6" spans="1:21" x14ac:dyDescent="0.3">
      <c r="A6" s="4" t="s">
        <v>4</v>
      </c>
      <c r="B6" s="5" t="s">
        <v>22</v>
      </c>
      <c r="F6" s="5" t="s">
        <v>31</v>
      </c>
      <c r="G6" s="5" t="s">
        <v>26</v>
      </c>
      <c r="H6" s="5"/>
      <c r="I6" s="5"/>
      <c r="J6" s="4" t="s">
        <v>61</v>
      </c>
      <c r="K6" s="4" t="s">
        <v>45</v>
      </c>
      <c r="L6" s="4" t="s">
        <v>143</v>
      </c>
      <c r="N6" s="4" t="s">
        <v>89</v>
      </c>
      <c r="O6" s="4" t="s">
        <v>108</v>
      </c>
      <c r="S6" s="4" t="s">
        <v>227</v>
      </c>
      <c r="T6" s="4" t="s">
        <v>26</v>
      </c>
      <c r="U6" s="4" t="s">
        <v>21</v>
      </c>
    </row>
    <row r="7" spans="1:21" x14ac:dyDescent="0.3">
      <c r="A7" s="4" t="s">
        <v>5</v>
      </c>
      <c r="B7" s="4" t="s">
        <v>21</v>
      </c>
      <c r="F7" s="5" t="s">
        <v>32</v>
      </c>
      <c r="G7" s="5" t="s">
        <v>28</v>
      </c>
      <c r="H7" s="5"/>
      <c r="I7" s="5"/>
      <c r="J7" s="4" t="s">
        <v>62</v>
      </c>
      <c r="K7" s="4" t="s">
        <v>28</v>
      </c>
      <c r="L7" s="4" t="s">
        <v>144</v>
      </c>
      <c r="N7" s="4" t="s">
        <v>90</v>
      </c>
      <c r="O7" s="4" t="s">
        <v>109</v>
      </c>
      <c r="S7" s="4" t="s">
        <v>228</v>
      </c>
      <c r="T7" s="4" t="s">
        <v>26</v>
      </c>
      <c r="U7" s="4" t="s">
        <v>21</v>
      </c>
    </row>
    <row r="8" spans="1:21" x14ac:dyDescent="0.3">
      <c r="A8" s="4" t="s">
        <v>6</v>
      </c>
      <c r="B8" s="5" t="s">
        <v>14</v>
      </c>
      <c r="F8" s="5" t="s">
        <v>34</v>
      </c>
      <c r="G8" s="5" t="s">
        <v>26</v>
      </c>
      <c r="H8" s="5"/>
      <c r="I8" s="5"/>
      <c r="J8" s="4" t="s">
        <v>65</v>
      </c>
      <c r="K8" s="4" t="s">
        <v>45</v>
      </c>
      <c r="L8" s="4" t="s">
        <v>145</v>
      </c>
      <c r="N8" s="4" t="s">
        <v>91</v>
      </c>
      <c r="O8" s="4" t="s">
        <v>110</v>
      </c>
      <c r="S8" s="4" t="s">
        <v>195</v>
      </c>
      <c r="T8" s="4" t="s">
        <v>26</v>
      </c>
      <c r="U8" s="4" t="s">
        <v>230</v>
      </c>
    </row>
    <row r="9" spans="1:21" x14ac:dyDescent="0.3">
      <c r="A9" s="4" t="s">
        <v>7</v>
      </c>
      <c r="B9" s="4" t="s">
        <v>21</v>
      </c>
      <c r="F9" s="5" t="s">
        <v>33</v>
      </c>
      <c r="G9" s="5" t="s">
        <v>28</v>
      </c>
      <c r="H9" s="5"/>
      <c r="I9" s="5"/>
      <c r="J9" s="4" t="s">
        <v>63</v>
      </c>
      <c r="K9" s="4" t="s">
        <v>45</v>
      </c>
      <c r="L9" s="4" t="s">
        <v>146</v>
      </c>
      <c r="N9" s="4" t="s">
        <v>92</v>
      </c>
      <c r="O9" s="4" t="s">
        <v>111</v>
      </c>
      <c r="S9" s="4" t="s">
        <v>196</v>
      </c>
      <c r="T9" s="4" t="s">
        <v>26</v>
      </c>
      <c r="U9" s="4" t="s">
        <v>21</v>
      </c>
    </row>
    <row r="10" spans="1:21" x14ac:dyDescent="0.3">
      <c r="A10" s="4" t="s">
        <v>8</v>
      </c>
      <c r="B10" s="5" t="s">
        <v>15</v>
      </c>
      <c r="F10" s="5" t="s">
        <v>35</v>
      </c>
      <c r="G10" s="5" t="s">
        <v>26</v>
      </c>
      <c r="H10" s="5"/>
      <c r="I10" s="5"/>
      <c r="J10" s="4" t="s">
        <v>64</v>
      </c>
      <c r="K10" s="4" t="s">
        <v>28</v>
      </c>
      <c r="L10" s="4" t="s">
        <v>147</v>
      </c>
      <c r="N10" s="4" t="s">
        <v>93</v>
      </c>
      <c r="O10" s="4" t="s">
        <v>112</v>
      </c>
      <c r="S10" s="4" t="s">
        <v>231</v>
      </c>
      <c r="T10" s="4" t="s">
        <v>26</v>
      </c>
      <c r="U10" s="4" t="s">
        <v>230</v>
      </c>
    </row>
    <row r="11" spans="1:21" x14ac:dyDescent="0.3">
      <c r="A11" s="4" t="s">
        <v>9</v>
      </c>
      <c r="B11" s="5" t="s">
        <v>16</v>
      </c>
      <c r="F11" s="5" t="s">
        <v>36</v>
      </c>
      <c r="G11" s="5" t="s">
        <v>37</v>
      </c>
      <c r="H11" s="5"/>
      <c r="I11" s="5"/>
      <c r="J11" s="4" t="s">
        <v>68</v>
      </c>
      <c r="K11" s="4" t="s">
        <v>45</v>
      </c>
      <c r="L11" s="4" t="s">
        <v>150</v>
      </c>
      <c r="N11" s="4" t="s">
        <v>94</v>
      </c>
      <c r="O11" s="4" t="s">
        <v>113</v>
      </c>
      <c r="S11" s="4" t="s">
        <v>232</v>
      </c>
      <c r="T11" s="4" t="s">
        <v>26</v>
      </c>
      <c r="U11" s="4" t="s">
        <v>230</v>
      </c>
    </row>
    <row r="12" spans="1:21" x14ac:dyDescent="0.3">
      <c r="A12" s="4" t="s">
        <v>10</v>
      </c>
      <c r="B12" s="5" t="s">
        <v>23</v>
      </c>
      <c r="F12" s="4" t="s">
        <v>38</v>
      </c>
      <c r="G12" s="4" t="s">
        <v>28</v>
      </c>
      <c r="H12" s="4" t="s">
        <v>125</v>
      </c>
      <c r="I12" s="5"/>
      <c r="J12" s="4" t="s">
        <v>67</v>
      </c>
      <c r="K12" s="4" t="s">
        <v>45</v>
      </c>
      <c r="L12" s="4" t="s">
        <v>114</v>
      </c>
      <c r="N12" s="4" t="s">
        <v>95</v>
      </c>
      <c r="O12" s="4" t="s">
        <v>114</v>
      </c>
      <c r="S12" s="4" t="s">
        <v>197</v>
      </c>
      <c r="T12" s="4" t="s">
        <v>26</v>
      </c>
      <c r="U12" s="4" t="s">
        <v>230</v>
      </c>
    </row>
    <row r="13" spans="1:21" x14ac:dyDescent="0.3">
      <c r="A13" s="4" t="s">
        <v>11</v>
      </c>
      <c r="B13" s="5" t="s">
        <v>17</v>
      </c>
      <c r="F13" s="4" t="s">
        <v>39</v>
      </c>
      <c r="G13" s="4" t="s">
        <v>28</v>
      </c>
      <c r="H13" s="4" t="s">
        <v>126</v>
      </c>
      <c r="I13" s="5"/>
      <c r="J13" s="4" t="s">
        <v>66</v>
      </c>
      <c r="K13" s="4" t="s">
        <v>45</v>
      </c>
      <c r="L13" s="4" t="s">
        <v>149</v>
      </c>
      <c r="N13" s="4" t="s">
        <v>96</v>
      </c>
      <c r="O13" s="4" t="s">
        <v>115</v>
      </c>
      <c r="S13" s="4" t="s">
        <v>198</v>
      </c>
      <c r="T13" s="4" t="s">
        <v>199</v>
      </c>
      <c r="U13" s="4" t="s">
        <v>230</v>
      </c>
    </row>
    <row r="14" spans="1:21" ht="36" x14ac:dyDescent="0.3">
      <c r="F14" s="4" t="s">
        <v>40</v>
      </c>
      <c r="G14" s="4" t="s">
        <v>26</v>
      </c>
      <c r="H14" s="4" t="s">
        <v>127</v>
      </c>
      <c r="J14" s="4" t="s">
        <v>69</v>
      </c>
      <c r="K14" s="4" t="s">
        <v>45</v>
      </c>
      <c r="L14" s="4" t="s">
        <v>148</v>
      </c>
      <c r="N14" s="4" t="s">
        <v>97</v>
      </c>
      <c r="O14" s="4" t="s">
        <v>116</v>
      </c>
      <c r="S14" s="6" t="s">
        <v>233</v>
      </c>
      <c r="T14" s="4" t="s">
        <v>199</v>
      </c>
      <c r="U14" s="4" t="s">
        <v>21</v>
      </c>
    </row>
    <row r="15" spans="1:21" x14ac:dyDescent="0.3">
      <c r="F15" s="4" t="s">
        <v>41</v>
      </c>
      <c r="G15" s="4" t="s">
        <v>26</v>
      </c>
      <c r="H15" s="4" t="s">
        <v>128</v>
      </c>
      <c r="J15" s="4" t="s">
        <v>70</v>
      </c>
      <c r="K15" s="4" t="s">
        <v>45</v>
      </c>
      <c r="L15" s="4" t="s">
        <v>117</v>
      </c>
      <c r="N15" s="4" t="s">
        <v>98</v>
      </c>
      <c r="O15" s="4" t="s">
        <v>117</v>
      </c>
      <c r="S15" s="4" t="s">
        <v>201</v>
      </c>
      <c r="T15" s="4" t="s">
        <v>28</v>
      </c>
      <c r="U15" s="4" t="s">
        <v>230</v>
      </c>
    </row>
    <row r="16" spans="1:21" x14ac:dyDescent="0.3">
      <c r="F16" s="4" t="s">
        <v>42</v>
      </c>
      <c r="G16" s="4" t="s">
        <v>43</v>
      </c>
      <c r="H16" s="4" t="s">
        <v>121</v>
      </c>
      <c r="J16" s="4" t="s">
        <v>71</v>
      </c>
      <c r="K16" s="4" t="s">
        <v>45</v>
      </c>
      <c r="L16" s="4" t="s">
        <v>151</v>
      </c>
      <c r="N16" s="4" t="s">
        <v>99</v>
      </c>
      <c r="O16" s="4" t="s">
        <v>118</v>
      </c>
      <c r="S16" s="4" t="s">
        <v>202</v>
      </c>
      <c r="T16" s="4" t="s">
        <v>199</v>
      </c>
      <c r="U16" s="4" t="s">
        <v>230</v>
      </c>
    </row>
    <row r="17" spans="5:21" x14ac:dyDescent="0.3">
      <c r="E17" s="4" t="s">
        <v>46</v>
      </c>
      <c r="F17" s="4" t="s">
        <v>44</v>
      </c>
      <c r="G17" s="4" t="s">
        <v>45</v>
      </c>
      <c r="H17" s="4" t="s">
        <v>129</v>
      </c>
      <c r="J17" s="4" t="s">
        <v>72</v>
      </c>
      <c r="K17" s="4" t="s">
        <v>45</v>
      </c>
      <c r="L17" s="4" t="s">
        <v>152</v>
      </c>
      <c r="N17" s="4" t="s">
        <v>100</v>
      </c>
      <c r="O17" s="4" t="s">
        <v>119</v>
      </c>
      <c r="S17" s="4" t="s">
        <v>203</v>
      </c>
      <c r="T17" s="4" t="s">
        <v>199</v>
      </c>
      <c r="U17" s="4" t="s">
        <v>230</v>
      </c>
    </row>
    <row r="18" spans="5:21" x14ac:dyDescent="0.3">
      <c r="F18" s="4" t="s">
        <v>47</v>
      </c>
      <c r="G18" s="4" t="s">
        <v>45</v>
      </c>
      <c r="H18" s="4" t="s">
        <v>130</v>
      </c>
      <c r="J18" s="4" t="s">
        <v>73</v>
      </c>
      <c r="K18" s="4" t="s">
        <v>45</v>
      </c>
      <c r="L18" s="4" t="s">
        <v>153</v>
      </c>
      <c r="N18" s="4" t="s">
        <v>101</v>
      </c>
      <c r="O18" s="4" t="s">
        <v>120</v>
      </c>
      <c r="S18" s="4" t="s">
        <v>204</v>
      </c>
      <c r="T18" s="4" t="s">
        <v>199</v>
      </c>
      <c r="U18" s="4" t="s">
        <v>230</v>
      </c>
    </row>
    <row r="19" spans="5:21" x14ac:dyDescent="0.3">
      <c r="F19" s="4" t="s">
        <v>48</v>
      </c>
      <c r="G19" s="4" t="s">
        <v>26</v>
      </c>
      <c r="H19" s="4" t="s">
        <v>131</v>
      </c>
      <c r="J19" s="4" t="s">
        <v>74</v>
      </c>
      <c r="K19" s="4" t="s">
        <v>43</v>
      </c>
      <c r="L19" s="4" t="s">
        <v>121</v>
      </c>
      <c r="N19" s="4" t="s">
        <v>102</v>
      </c>
      <c r="O19" s="4" t="s">
        <v>121</v>
      </c>
      <c r="S19" s="4" t="s">
        <v>205</v>
      </c>
      <c r="T19" s="4" t="s">
        <v>199</v>
      </c>
      <c r="U19" s="4" t="s">
        <v>230</v>
      </c>
    </row>
    <row r="20" spans="5:21" x14ac:dyDescent="0.3">
      <c r="F20" s="4" t="s">
        <v>49</v>
      </c>
      <c r="G20" s="4" t="s">
        <v>45</v>
      </c>
      <c r="H20" s="4" t="s">
        <v>132</v>
      </c>
      <c r="J20" s="5" t="s">
        <v>27</v>
      </c>
      <c r="K20" s="5" t="s">
        <v>28</v>
      </c>
      <c r="N20" s="4" t="s">
        <v>103</v>
      </c>
      <c r="O20" s="4" t="s">
        <v>122</v>
      </c>
      <c r="S20" s="4" t="s">
        <v>206</v>
      </c>
      <c r="T20" s="4" t="s">
        <v>28</v>
      </c>
      <c r="U20" s="4" t="s">
        <v>230</v>
      </c>
    </row>
    <row r="21" spans="5:21" x14ac:dyDescent="0.3">
      <c r="F21" s="4" t="s">
        <v>50</v>
      </c>
      <c r="G21" s="4" t="s">
        <v>45</v>
      </c>
      <c r="H21" s="4" t="s">
        <v>133</v>
      </c>
      <c r="J21" s="5" t="s">
        <v>29</v>
      </c>
      <c r="K21" s="5" t="s">
        <v>28</v>
      </c>
      <c r="S21" s="4" t="s">
        <v>207</v>
      </c>
      <c r="T21" s="4" t="s">
        <v>199</v>
      </c>
      <c r="U21" s="4" t="s">
        <v>21</v>
      </c>
    </row>
    <row r="22" spans="5:21" x14ac:dyDescent="0.3">
      <c r="F22" s="4" t="s">
        <v>51</v>
      </c>
      <c r="G22" s="4" t="s">
        <v>45</v>
      </c>
      <c r="H22" s="4" t="s">
        <v>134</v>
      </c>
      <c r="J22" s="5" t="s">
        <v>30</v>
      </c>
      <c r="K22" s="5" t="s">
        <v>28</v>
      </c>
      <c r="S22" s="4" t="s">
        <v>208</v>
      </c>
      <c r="T22" s="4" t="s">
        <v>199</v>
      </c>
      <c r="U22" s="4" t="s">
        <v>230</v>
      </c>
    </row>
    <row r="23" spans="5:21" x14ac:dyDescent="0.3">
      <c r="F23" s="4" t="s">
        <v>52</v>
      </c>
      <c r="G23" s="4" t="s">
        <v>45</v>
      </c>
      <c r="H23" s="4" t="s">
        <v>135</v>
      </c>
      <c r="J23" s="5" t="s">
        <v>31</v>
      </c>
      <c r="K23" s="5" t="s">
        <v>26</v>
      </c>
      <c r="S23" s="4" t="s">
        <v>209</v>
      </c>
      <c r="T23" s="4" t="s">
        <v>199</v>
      </c>
      <c r="U23" s="4" t="s">
        <v>21</v>
      </c>
    </row>
    <row r="24" spans="5:21" x14ac:dyDescent="0.3">
      <c r="F24" s="4" t="s">
        <v>53</v>
      </c>
      <c r="G24" s="4" t="s">
        <v>45</v>
      </c>
      <c r="H24" s="4" t="s">
        <v>136</v>
      </c>
      <c r="J24" s="5" t="s">
        <v>32</v>
      </c>
      <c r="K24" s="5" t="s">
        <v>28</v>
      </c>
      <c r="S24" s="4" t="s">
        <v>210</v>
      </c>
      <c r="T24" s="4" t="s">
        <v>199</v>
      </c>
      <c r="U24" s="4" t="s">
        <v>230</v>
      </c>
    </row>
    <row r="25" spans="5:21" x14ac:dyDescent="0.3">
      <c r="F25" s="4" t="s">
        <v>54</v>
      </c>
      <c r="G25" s="4" t="s">
        <v>45</v>
      </c>
      <c r="H25" s="4" t="s">
        <v>137</v>
      </c>
      <c r="J25" s="5" t="s">
        <v>34</v>
      </c>
      <c r="K25" s="5" t="s">
        <v>26</v>
      </c>
      <c r="S25" s="4" t="s">
        <v>211</v>
      </c>
      <c r="T25" s="4" t="s">
        <v>199</v>
      </c>
      <c r="U25" s="4" t="s">
        <v>230</v>
      </c>
    </row>
    <row r="26" spans="5:21" x14ac:dyDescent="0.3">
      <c r="F26" s="4" t="s">
        <v>55</v>
      </c>
      <c r="G26" s="4" t="s">
        <v>45</v>
      </c>
      <c r="H26" s="4" t="s">
        <v>138</v>
      </c>
      <c r="J26" s="5" t="s">
        <v>33</v>
      </c>
      <c r="K26" s="5" t="s">
        <v>28</v>
      </c>
      <c r="S26" s="4" t="s">
        <v>212</v>
      </c>
      <c r="T26" s="4" t="s">
        <v>199</v>
      </c>
      <c r="U26" s="4" t="s">
        <v>230</v>
      </c>
    </row>
    <row r="27" spans="5:21" x14ac:dyDescent="0.3">
      <c r="F27" s="4" t="s">
        <v>56</v>
      </c>
      <c r="G27" s="4" t="s">
        <v>28</v>
      </c>
      <c r="H27" s="4" t="s">
        <v>139</v>
      </c>
      <c r="J27" s="5" t="s">
        <v>35</v>
      </c>
      <c r="K27" s="5" t="s">
        <v>26</v>
      </c>
      <c r="S27" s="4" t="s">
        <v>213</v>
      </c>
      <c r="T27" s="4" t="s">
        <v>199</v>
      </c>
      <c r="U27" s="4" t="s">
        <v>230</v>
      </c>
    </row>
    <row r="28" spans="5:21" x14ac:dyDescent="0.3">
      <c r="J28" s="5" t="s">
        <v>36</v>
      </c>
      <c r="K28" s="5" t="s">
        <v>37</v>
      </c>
      <c r="S28" s="4" t="s">
        <v>214</v>
      </c>
      <c r="T28" s="4" t="s">
        <v>199</v>
      </c>
      <c r="U28" s="4" t="s">
        <v>230</v>
      </c>
    </row>
    <row r="29" spans="5:21" x14ac:dyDescent="0.3">
      <c r="J29" s="4" t="s">
        <v>75</v>
      </c>
      <c r="K29" s="4" t="s">
        <v>26</v>
      </c>
      <c r="L29" s="4" t="s">
        <v>154</v>
      </c>
      <c r="S29" s="4" t="s">
        <v>215</v>
      </c>
      <c r="T29" s="4" t="s">
        <v>199</v>
      </c>
      <c r="U29" s="4" t="s">
        <v>230</v>
      </c>
    </row>
    <row r="30" spans="5:21" x14ac:dyDescent="0.3">
      <c r="J30" s="4" t="s">
        <v>76</v>
      </c>
      <c r="K30" s="4" t="s">
        <v>45</v>
      </c>
      <c r="L30" s="4" t="s">
        <v>155</v>
      </c>
      <c r="S30" s="4" t="s">
        <v>216</v>
      </c>
      <c r="T30" s="4" t="s">
        <v>199</v>
      </c>
      <c r="U30" s="4" t="s">
        <v>230</v>
      </c>
    </row>
    <row r="31" spans="5:21" x14ac:dyDescent="0.3">
      <c r="J31" s="4" t="s">
        <v>77</v>
      </c>
      <c r="K31" s="4" t="s">
        <v>45</v>
      </c>
      <c r="L31" s="4" t="s">
        <v>156</v>
      </c>
      <c r="S31" s="4" t="s">
        <v>217</v>
      </c>
      <c r="T31" s="4" t="s">
        <v>28</v>
      </c>
      <c r="U31" s="4" t="s">
        <v>230</v>
      </c>
    </row>
    <row r="32" spans="5:21" x14ac:dyDescent="0.3">
      <c r="J32" s="4" t="s">
        <v>78</v>
      </c>
      <c r="K32" s="4" t="s">
        <v>45</v>
      </c>
      <c r="L32" s="4" t="s">
        <v>157</v>
      </c>
      <c r="N32" s="4" t="s">
        <v>81</v>
      </c>
      <c r="S32" s="4" t="s">
        <v>218</v>
      </c>
      <c r="T32" s="4" t="s">
        <v>28</v>
      </c>
      <c r="U32" s="4" t="s">
        <v>230</v>
      </c>
    </row>
    <row r="33" spans="10:21" x14ac:dyDescent="0.3">
      <c r="J33" s="4" t="s">
        <v>79</v>
      </c>
      <c r="K33" s="4" t="s">
        <v>43</v>
      </c>
      <c r="L33" s="4" t="s">
        <v>158</v>
      </c>
      <c r="N33" s="4" t="s">
        <v>80</v>
      </c>
      <c r="S33" s="4" t="s">
        <v>219</v>
      </c>
      <c r="T33" s="4" t="s">
        <v>28</v>
      </c>
      <c r="U33" s="4" t="s">
        <v>230</v>
      </c>
    </row>
    <row r="34" spans="10:21" x14ac:dyDescent="0.3">
      <c r="J34" s="4" t="s">
        <v>82</v>
      </c>
      <c r="K34" s="4" t="s">
        <v>37</v>
      </c>
      <c r="L34" s="4" t="s">
        <v>159</v>
      </c>
      <c r="S34" s="4" t="s">
        <v>30</v>
      </c>
      <c r="T34" s="4" t="s">
        <v>28</v>
      </c>
      <c r="U34" s="4" t="s">
        <v>230</v>
      </c>
    </row>
    <row r="35" spans="10:21" x14ac:dyDescent="0.3">
      <c r="J35" s="5" t="s">
        <v>83</v>
      </c>
      <c r="K35" s="5" t="s">
        <v>28</v>
      </c>
      <c r="S35" s="4" t="s">
        <v>220</v>
      </c>
      <c r="T35" s="4" t="s">
        <v>26</v>
      </c>
      <c r="U35" s="4" t="s">
        <v>230</v>
      </c>
    </row>
    <row r="36" spans="10:21" x14ac:dyDescent="0.3">
      <c r="J36" s="5" t="s">
        <v>84</v>
      </c>
      <c r="K36" s="5" t="s">
        <v>28</v>
      </c>
      <c r="S36" s="4" t="s">
        <v>32</v>
      </c>
      <c r="T36" s="4" t="s">
        <v>28</v>
      </c>
      <c r="U36" s="4" t="s">
        <v>230</v>
      </c>
    </row>
    <row r="37" spans="10:21" x14ac:dyDescent="0.3">
      <c r="S37" s="4" t="s">
        <v>221</v>
      </c>
      <c r="T37" s="4" t="s">
        <v>26</v>
      </c>
      <c r="U37" s="4" t="s">
        <v>230</v>
      </c>
    </row>
    <row r="38" spans="10:21" x14ac:dyDescent="0.3">
      <c r="S38" s="4" t="s">
        <v>33</v>
      </c>
      <c r="T38" s="4" t="s">
        <v>28</v>
      </c>
      <c r="U38" s="4" t="s">
        <v>230</v>
      </c>
    </row>
    <row r="39" spans="10:21" x14ac:dyDescent="0.3">
      <c r="S39" s="4" t="s">
        <v>222</v>
      </c>
      <c r="T39" s="4" t="s">
        <v>26</v>
      </c>
      <c r="U39" s="4" t="s">
        <v>230</v>
      </c>
    </row>
    <row r="40" spans="10:21" x14ac:dyDescent="0.3">
      <c r="S40" s="4" t="s">
        <v>223</v>
      </c>
      <c r="T40" s="4" t="s">
        <v>37</v>
      </c>
      <c r="U40" s="4" t="s">
        <v>230</v>
      </c>
    </row>
  </sheetData>
  <mergeCells count="4">
    <mergeCell ref="F1:G1"/>
    <mergeCell ref="J1:K1"/>
    <mergeCell ref="S1:T1"/>
    <mergeCell ref="N1:O1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opLeftCell="A14" workbookViewId="0">
      <selection activeCell="A34" sqref="A34:D42"/>
    </sheetView>
  </sheetViews>
  <sheetFormatPr defaultRowHeight="14.4" x14ac:dyDescent="0.3"/>
  <cols>
    <col min="1" max="1" width="18" bestFit="1" customWidth="1"/>
    <col min="4" max="4" width="39.5546875" customWidth="1"/>
    <col min="6" max="6" width="11.109375" customWidth="1"/>
  </cols>
  <sheetData>
    <row r="1" spans="1:2" x14ac:dyDescent="0.3">
      <c r="A1" t="s">
        <v>86</v>
      </c>
      <c r="B1" s="68" t="s">
        <v>247</v>
      </c>
    </row>
    <row r="2" spans="1:2" x14ac:dyDescent="0.3">
      <c r="A2" t="s">
        <v>164</v>
      </c>
      <c r="B2" s="68"/>
    </row>
    <row r="3" spans="1:2" x14ac:dyDescent="0.3">
      <c r="A3" t="s">
        <v>87</v>
      </c>
      <c r="B3" s="68"/>
    </row>
    <row r="4" spans="1:2" x14ac:dyDescent="0.3">
      <c r="A4" t="s">
        <v>88</v>
      </c>
      <c r="B4" s="68"/>
    </row>
    <row r="5" spans="1:2" x14ac:dyDescent="0.3">
      <c r="A5" t="s">
        <v>89</v>
      </c>
      <c r="B5" s="68"/>
    </row>
    <row r="6" spans="1:2" x14ac:dyDescent="0.3">
      <c r="A6" t="s">
        <v>165</v>
      </c>
      <c r="B6" s="68"/>
    </row>
    <row r="7" spans="1:2" x14ac:dyDescent="0.3">
      <c r="A7" t="s">
        <v>91</v>
      </c>
      <c r="B7" s="68"/>
    </row>
    <row r="8" spans="1:2" x14ac:dyDescent="0.3">
      <c r="A8" t="s">
        <v>92</v>
      </c>
      <c r="B8" s="68"/>
    </row>
    <row r="9" spans="1:2" x14ac:dyDescent="0.3">
      <c r="A9" t="s">
        <v>93</v>
      </c>
      <c r="B9" s="68"/>
    </row>
    <row r="10" spans="1:2" x14ac:dyDescent="0.3">
      <c r="A10" t="s">
        <v>166</v>
      </c>
      <c r="B10" s="68"/>
    </row>
    <row r="11" spans="1:2" x14ac:dyDescent="0.3">
      <c r="A11" t="s">
        <v>167</v>
      </c>
      <c r="B11" s="68"/>
    </row>
    <row r="12" spans="1:2" x14ac:dyDescent="0.3">
      <c r="A12" t="s">
        <v>168</v>
      </c>
      <c r="B12" s="68"/>
    </row>
    <row r="13" spans="1:2" x14ac:dyDescent="0.3">
      <c r="A13" t="s">
        <v>169</v>
      </c>
      <c r="B13" s="68"/>
    </row>
    <row r="14" spans="1:2" x14ac:dyDescent="0.3">
      <c r="A14" t="s">
        <v>170</v>
      </c>
      <c r="B14" s="68"/>
    </row>
    <row r="15" spans="1:2" x14ac:dyDescent="0.3">
      <c r="A15" t="s">
        <v>171</v>
      </c>
      <c r="B15" s="68"/>
    </row>
    <row r="16" spans="1:2" x14ac:dyDescent="0.3">
      <c r="A16" t="s">
        <v>100</v>
      </c>
      <c r="B16" s="68"/>
    </row>
    <row r="17" spans="1:6" x14ac:dyDescent="0.3">
      <c r="A17" t="s">
        <v>101</v>
      </c>
      <c r="B17" s="68"/>
    </row>
    <row r="18" spans="1:6" x14ac:dyDescent="0.3">
      <c r="A18" t="s">
        <v>172</v>
      </c>
      <c r="B18" s="68"/>
    </row>
    <row r="19" spans="1:6" x14ac:dyDescent="0.3">
      <c r="B19" s="68"/>
      <c r="E19" t="s">
        <v>180</v>
      </c>
      <c r="F19" t="s">
        <v>183</v>
      </c>
    </row>
    <row r="20" spans="1:6" x14ac:dyDescent="0.3">
      <c r="A20" s="67" t="s">
        <v>174</v>
      </c>
      <c r="B20" s="67"/>
      <c r="C20" s="67"/>
      <c r="D20" s="67"/>
      <c r="E20" t="s">
        <v>181</v>
      </c>
      <c r="F20" t="s">
        <v>181</v>
      </c>
    </row>
    <row r="21" spans="1:6" x14ac:dyDescent="0.3">
      <c r="A21" s="67" t="s">
        <v>176</v>
      </c>
      <c r="B21" s="67"/>
      <c r="C21" s="67"/>
      <c r="D21" s="67"/>
      <c r="E21" t="s">
        <v>182</v>
      </c>
      <c r="F21" t="s">
        <v>173</v>
      </c>
    </row>
    <row r="22" spans="1:6" x14ac:dyDescent="0.3">
      <c r="A22" s="67" t="s">
        <v>175</v>
      </c>
      <c r="B22" s="67"/>
      <c r="C22" s="67"/>
      <c r="D22" s="67"/>
      <c r="E22" t="s">
        <v>182</v>
      </c>
    </row>
    <row r="23" spans="1:6" x14ac:dyDescent="0.3">
      <c r="A23" s="67" t="s">
        <v>177</v>
      </c>
      <c r="B23" s="67"/>
      <c r="C23" s="67"/>
      <c r="D23" s="67"/>
    </row>
    <row r="24" spans="1:6" x14ac:dyDescent="0.3">
      <c r="A24" s="67" t="s">
        <v>178</v>
      </c>
      <c r="B24" s="67"/>
      <c r="C24" s="67"/>
      <c r="D24" s="67"/>
    </row>
    <row r="25" spans="1:6" x14ac:dyDescent="0.3">
      <c r="A25" s="67" t="s">
        <v>179</v>
      </c>
      <c r="B25" s="67"/>
      <c r="C25" s="67"/>
      <c r="D25" s="67"/>
      <c r="F25" t="s">
        <v>173</v>
      </c>
    </row>
    <row r="26" spans="1:6" x14ac:dyDescent="0.3">
      <c r="A26" s="67"/>
      <c r="B26" s="67"/>
      <c r="C26" s="67"/>
      <c r="D26" s="67"/>
    </row>
    <row r="27" spans="1:6" x14ac:dyDescent="0.3">
      <c r="A27" s="67" t="s">
        <v>184</v>
      </c>
      <c r="B27" s="67"/>
      <c r="C27" s="67"/>
      <c r="D27" s="67"/>
    </row>
    <row r="28" spans="1:6" x14ac:dyDescent="0.3">
      <c r="A28" s="67" t="s">
        <v>185</v>
      </c>
      <c r="B28" s="67"/>
      <c r="C28" s="67"/>
      <c r="D28" s="67"/>
    </row>
    <row r="29" spans="1:6" x14ac:dyDescent="0.3">
      <c r="A29" s="67" t="s">
        <v>186</v>
      </c>
      <c r="B29" s="67"/>
      <c r="C29" s="67"/>
      <c r="D29" s="67"/>
    </row>
    <row r="30" spans="1:6" x14ac:dyDescent="0.3">
      <c r="A30" s="67" t="s">
        <v>187</v>
      </c>
      <c r="B30" s="67"/>
      <c r="C30" s="67"/>
      <c r="D30" s="67"/>
    </row>
    <row r="31" spans="1:6" x14ac:dyDescent="0.3">
      <c r="A31" s="67" t="s">
        <v>188</v>
      </c>
      <c r="B31" s="67"/>
      <c r="C31" s="67"/>
      <c r="D31" s="67"/>
    </row>
    <row r="34" spans="1:4" ht="16.2" thickBot="1" x14ac:dyDescent="0.35">
      <c r="A34" s="66" t="s">
        <v>235</v>
      </c>
      <c r="B34" s="66"/>
      <c r="C34" s="66"/>
      <c r="D34" s="66"/>
    </row>
    <row r="35" spans="1:4" ht="15" thickBot="1" x14ac:dyDescent="0.35">
      <c r="A35" s="57" t="s">
        <v>236</v>
      </c>
      <c r="B35" s="58"/>
      <c r="C35" s="58"/>
      <c r="D35" s="59"/>
    </row>
    <row r="36" spans="1:4" x14ac:dyDescent="0.3">
      <c r="A36" s="60" t="s">
        <v>237</v>
      </c>
      <c r="B36" s="61"/>
      <c r="C36" s="61"/>
      <c r="D36" s="62"/>
    </row>
    <row r="37" spans="1:4" x14ac:dyDescent="0.3">
      <c r="A37" s="60" t="s">
        <v>238</v>
      </c>
      <c r="B37" s="61"/>
      <c r="C37" s="61"/>
      <c r="D37" s="62"/>
    </row>
    <row r="38" spans="1:4" ht="15" thickBot="1" x14ac:dyDescent="0.35">
      <c r="A38" s="63" t="s">
        <v>239</v>
      </c>
      <c r="B38" s="64"/>
      <c r="C38" s="64"/>
      <c r="D38" s="65"/>
    </row>
    <row r="39" spans="1:4" ht="15" thickBot="1" x14ac:dyDescent="0.35">
      <c r="A39" s="57" t="s">
        <v>240</v>
      </c>
      <c r="B39" s="58"/>
      <c r="C39" s="58"/>
      <c r="D39" s="59"/>
    </row>
    <row r="40" spans="1:4" x14ac:dyDescent="0.3">
      <c r="A40" s="60" t="s">
        <v>241</v>
      </c>
      <c r="B40" s="61"/>
      <c r="C40" s="61"/>
      <c r="D40" s="62"/>
    </row>
    <row r="41" spans="1:4" x14ac:dyDescent="0.3">
      <c r="A41" s="60" t="s">
        <v>242</v>
      </c>
      <c r="B41" s="61"/>
      <c r="C41" s="61"/>
      <c r="D41" s="62"/>
    </row>
    <row r="42" spans="1:4" ht="15" thickBot="1" x14ac:dyDescent="0.35">
      <c r="A42" s="63" t="s">
        <v>239</v>
      </c>
      <c r="B42" s="64"/>
      <c r="C42" s="64"/>
      <c r="D42" s="65"/>
    </row>
    <row r="43" spans="1:4" ht="15" thickBot="1" x14ac:dyDescent="0.35">
      <c r="A43" s="57" t="s">
        <v>243</v>
      </c>
      <c r="B43" s="58"/>
      <c r="C43" s="58"/>
      <c r="D43" s="59"/>
    </row>
    <row r="44" spans="1:4" x14ac:dyDescent="0.3">
      <c r="A44" s="60" t="s">
        <v>246</v>
      </c>
      <c r="B44" s="61"/>
      <c r="C44" s="61"/>
      <c r="D44" s="62"/>
    </row>
    <row r="45" spans="1:4" x14ac:dyDescent="0.3">
      <c r="A45" s="60" t="s">
        <v>245</v>
      </c>
      <c r="B45" s="61"/>
      <c r="C45" s="61"/>
      <c r="D45" s="62"/>
    </row>
    <row r="46" spans="1:4" ht="15" thickBot="1" x14ac:dyDescent="0.35">
      <c r="A46" s="63" t="s">
        <v>244</v>
      </c>
      <c r="B46" s="64"/>
      <c r="C46" s="64"/>
      <c r="D46" s="65"/>
    </row>
  </sheetData>
  <mergeCells count="26">
    <mergeCell ref="B1:B19"/>
    <mergeCell ref="A20:D20"/>
    <mergeCell ref="A21:D21"/>
    <mergeCell ref="A22:D22"/>
    <mergeCell ref="A23:D23"/>
    <mergeCell ref="A24:D24"/>
    <mergeCell ref="A30:D30"/>
    <mergeCell ref="A31:D31"/>
    <mergeCell ref="A25:D25"/>
    <mergeCell ref="A26:D26"/>
    <mergeCell ref="A27:D27"/>
    <mergeCell ref="A28:D28"/>
    <mergeCell ref="A29:D29"/>
    <mergeCell ref="A34:D34"/>
    <mergeCell ref="A36:D36"/>
    <mergeCell ref="A37:D37"/>
    <mergeCell ref="A38:D38"/>
    <mergeCell ref="A35:D35"/>
    <mergeCell ref="A43:D43"/>
    <mergeCell ref="A44:D44"/>
    <mergeCell ref="A45:D45"/>
    <mergeCell ref="A46:D46"/>
    <mergeCell ref="A39:D39"/>
    <mergeCell ref="A40:D40"/>
    <mergeCell ref="A41:D41"/>
    <mergeCell ref="A42:D42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B38"/>
    </sheetView>
  </sheetViews>
  <sheetFormatPr defaultColWidth="23" defaultRowHeight="14.4" x14ac:dyDescent="0.3"/>
  <cols>
    <col min="1" max="1" width="31" style="2" customWidth="1"/>
    <col min="2" max="2" width="14.44140625" style="1" customWidth="1"/>
    <col min="3" max="16384" width="23" style="1"/>
  </cols>
  <sheetData>
    <row r="1" spans="1:2" ht="36.75" customHeight="1" x14ac:dyDescent="0.3">
      <c r="A1" s="69" t="s">
        <v>224</v>
      </c>
      <c r="B1" s="70"/>
    </row>
    <row r="2" spans="1:2" x14ac:dyDescent="0.3">
      <c r="A2" s="2" t="s">
        <v>189</v>
      </c>
      <c r="B2" s="2" t="s">
        <v>26</v>
      </c>
    </row>
    <row r="3" spans="1:2" x14ac:dyDescent="0.3">
      <c r="A3" s="2" t="s">
        <v>190</v>
      </c>
      <c r="B3" s="2" t="s">
        <v>28</v>
      </c>
    </row>
    <row r="4" spans="1:2" x14ac:dyDescent="0.3">
      <c r="A4" s="2" t="s">
        <v>191</v>
      </c>
      <c r="B4" s="2" t="s">
        <v>26</v>
      </c>
    </row>
    <row r="5" spans="1:2" x14ac:dyDescent="0.3">
      <c r="A5" s="2" t="s">
        <v>192</v>
      </c>
      <c r="B5" s="2" t="s">
        <v>26</v>
      </c>
    </row>
    <row r="6" spans="1:2" x14ac:dyDescent="0.3">
      <c r="A6" s="2" t="s">
        <v>193</v>
      </c>
      <c r="B6" s="2" t="s">
        <v>26</v>
      </c>
    </row>
    <row r="7" spans="1:2" x14ac:dyDescent="0.3">
      <c r="A7" s="2" t="s">
        <v>194</v>
      </c>
      <c r="B7" s="2" t="s">
        <v>26</v>
      </c>
    </row>
    <row r="8" spans="1:2" x14ac:dyDescent="0.3">
      <c r="A8" s="2" t="s">
        <v>195</v>
      </c>
      <c r="B8" s="2" t="s">
        <v>26</v>
      </c>
    </row>
    <row r="9" spans="1:2" x14ac:dyDescent="0.3">
      <c r="A9" s="2" t="s">
        <v>196</v>
      </c>
      <c r="B9" s="2" t="s">
        <v>26</v>
      </c>
    </row>
    <row r="10" spans="1:2" x14ac:dyDescent="0.3">
      <c r="A10" s="2" t="s">
        <v>197</v>
      </c>
      <c r="B10" s="2" t="s">
        <v>26</v>
      </c>
    </row>
    <row r="11" spans="1:2" x14ac:dyDescent="0.3">
      <c r="A11" s="2" t="s">
        <v>198</v>
      </c>
      <c r="B11" s="2" t="s">
        <v>199</v>
      </c>
    </row>
    <row r="12" spans="1:2" x14ac:dyDescent="0.3">
      <c r="A12" s="2" t="s">
        <v>200</v>
      </c>
      <c r="B12" s="2" t="s">
        <v>199</v>
      </c>
    </row>
    <row r="13" spans="1:2" x14ac:dyDescent="0.3">
      <c r="A13" s="2" t="s">
        <v>201</v>
      </c>
      <c r="B13" s="2" t="s">
        <v>28</v>
      </c>
    </row>
    <row r="14" spans="1:2" x14ac:dyDescent="0.3">
      <c r="A14" s="2" t="s">
        <v>202</v>
      </c>
      <c r="B14" s="2" t="s">
        <v>199</v>
      </c>
    </row>
    <row r="15" spans="1:2" x14ac:dyDescent="0.3">
      <c r="A15" s="2" t="s">
        <v>203</v>
      </c>
      <c r="B15" s="2" t="s">
        <v>199</v>
      </c>
    </row>
    <row r="16" spans="1:2" x14ac:dyDescent="0.3">
      <c r="A16" s="2" t="s">
        <v>204</v>
      </c>
      <c r="B16" s="2" t="s">
        <v>199</v>
      </c>
    </row>
    <row r="17" spans="1:2" x14ac:dyDescent="0.3">
      <c r="A17" s="2" t="s">
        <v>205</v>
      </c>
      <c r="B17" s="2" t="s">
        <v>199</v>
      </c>
    </row>
    <row r="18" spans="1:2" x14ac:dyDescent="0.3">
      <c r="A18" s="2" t="s">
        <v>206</v>
      </c>
      <c r="B18" s="2" t="s">
        <v>28</v>
      </c>
    </row>
    <row r="19" spans="1:2" x14ac:dyDescent="0.3">
      <c r="A19" s="2" t="s">
        <v>207</v>
      </c>
      <c r="B19" s="2" t="s">
        <v>199</v>
      </c>
    </row>
    <row r="20" spans="1:2" x14ac:dyDescent="0.3">
      <c r="A20" s="2" t="s">
        <v>208</v>
      </c>
      <c r="B20" s="2" t="s">
        <v>199</v>
      </c>
    </row>
    <row r="21" spans="1:2" x14ac:dyDescent="0.3">
      <c r="A21" s="2" t="s">
        <v>209</v>
      </c>
      <c r="B21" s="2" t="s">
        <v>199</v>
      </c>
    </row>
    <row r="22" spans="1:2" x14ac:dyDescent="0.3">
      <c r="A22" s="2" t="s">
        <v>210</v>
      </c>
      <c r="B22" s="2" t="s">
        <v>199</v>
      </c>
    </row>
    <row r="23" spans="1:2" x14ac:dyDescent="0.3">
      <c r="A23" s="2" t="s">
        <v>211</v>
      </c>
      <c r="B23" s="2" t="s">
        <v>199</v>
      </c>
    </row>
    <row r="24" spans="1:2" x14ac:dyDescent="0.3">
      <c r="A24" s="2" t="s">
        <v>212</v>
      </c>
      <c r="B24" s="2" t="s">
        <v>199</v>
      </c>
    </row>
    <row r="25" spans="1:2" x14ac:dyDescent="0.3">
      <c r="A25" s="2" t="s">
        <v>213</v>
      </c>
      <c r="B25" s="2" t="s">
        <v>199</v>
      </c>
    </row>
    <row r="26" spans="1:2" x14ac:dyDescent="0.3">
      <c r="A26" s="2" t="s">
        <v>214</v>
      </c>
      <c r="B26" s="2" t="s">
        <v>199</v>
      </c>
    </row>
    <row r="27" spans="1:2" x14ac:dyDescent="0.3">
      <c r="A27" s="2" t="s">
        <v>215</v>
      </c>
      <c r="B27" s="2" t="s">
        <v>199</v>
      </c>
    </row>
    <row r="28" spans="1:2" x14ac:dyDescent="0.3">
      <c r="A28" s="2" t="s">
        <v>216</v>
      </c>
      <c r="B28" s="2" t="s">
        <v>199</v>
      </c>
    </row>
    <row r="29" spans="1:2" x14ac:dyDescent="0.3">
      <c r="A29" s="2" t="s">
        <v>217</v>
      </c>
      <c r="B29" s="2" t="s">
        <v>28</v>
      </c>
    </row>
    <row r="30" spans="1:2" x14ac:dyDescent="0.3">
      <c r="A30" s="2" t="s">
        <v>218</v>
      </c>
      <c r="B30" s="2" t="s">
        <v>28</v>
      </c>
    </row>
    <row r="31" spans="1:2" x14ac:dyDescent="0.3">
      <c r="A31" s="2" t="s">
        <v>219</v>
      </c>
      <c r="B31" s="2" t="s">
        <v>28</v>
      </c>
    </row>
    <row r="32" spans="1:2" x14ac:dyDescent="0.3">
      <c r="A32" s="2" t="s">
        <v>30</v>
      </c>
      <c r="B32" s="2" t="s">
        <v>28</v>
      </c>
    </row>
    <row r="33" spans="1:2" x14ac:dyDescent="0.3">
      <c r="A33" s="2" t="s">
        <v>220</v>
      </c>
      <c r="B33" s="2" t="s">
        <v>26</v>
      </c>
    </row>
    <row r="34" spans="1:2" x14ac:dyDescent="0.3">
      <c r="A34" s="2" t="s">
        <v>32</v>
      </c>
      <c r="B34" s="2" t="s">
        <v>28</v>
      </c>
    </row>
    <row r="35" spans="1:2" x14ac:dyDescent="0.3">
      <c r="A35" s="2" t="s">
        <v>221</v>
      </c>
      <c r="B35" s="2" t="s">
        <v>26</v>
      </c>
    </row>
    <row r="36" spans="1:2" x14ac:dyDescent="0.3">
      <c r="A36" s="2" t="s">
        <v>33</v>
      </c>
      <c r="B36" s="2" t="s">
        <v>28</v>
      </c>
    </row>
    <row r="37" spans="1:2" x14ac:dyDescent="0.3">
      <c r="A37" s="2" t="s">
        <v>222</v>
      </c>
      <c r="B37" s="2" t="s">
        <v>26</v>
      </c>
    </row>
    <row r="38" spans="1:2" x14ac:dyDescent="0.3">
      <c r="A38" s="2" t="s">
        <v>223</v>
      </c>
      <c r="B38" s="2" t="s">
        <v>37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8" sqref="A8"/>
    </sheetView>
  </sheetViews>
  <sheetFormatPr defaultRowHeight="14.4" x14ac:dyDescent="0.3"/>
  <sheetData>
    <row r="1" spans="1:3" x14ac:dyDescent="0.3">
      <c r="A1">
        <v>59746</v>
      </c>
      <c r="B1" t="s">
        <v>160</v>
      </c>
    </row>
    <row r="2" spans="1:3" x14ac:dyDescent="0.3">
      <c r="A2">
        <v>2169</v>
      </c>
      <c r="B2" t="s">
        <v>161</v>
      </c>
    </row>
    <row r="3" spans="1:3" x14ac:dyDescent="0.3">
      <c r="A3">
        <f>SUM(A1:A2)</f>
        <v>61915</v>
      </c>
      <c r="B3" t="s">
        <v>162</v>
      </c>
    </row>
    <row r="4" spans="1:3" x14ac:dyDescent="0.3">
      <c r="A4">
        <f>+A3*2.5%</f>
        <v>1547.875</v>
      </c>
      <c r="B4" t="s">
        <v>163</v>
      </c>
    </row>
    <row r="5" spans="1:3" x14ac:dyDescent="0.3">
      <c r="A5">
        <v>1000</v>
      </c>
      <c r="B5">
        <v>25</v>
      </c>
      <c r="C5" t="s">
        <v>163</v>
      </c>
    </row>
    <row r="6" spans="1:3" x14ac:dyDescent="0.3">
      <c r="A6">
        <v>3000</v>
      </c>
      <c r="B6">
        <v>75</v>
      </c>
      <c r="C6" t="s">
        <v>163</v>
      </c>
    </row>
    <row r="8" spans="1:3" x14ac:dyDescent="0.3">
      <c r="A8">
        <f>5000000*2.5%</f>
        <v>125000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zoomScale="120" zoomScaleNormal="120" workbookViewId="0">
      <selection activeCell="I2" sqref="I2:J19"/>
    </sheetView>
  </sheetViews>
  <sheetFormatPr defaultRowHeight="14.4" x14ac:dyDescent="0.3"/>
  <cols>
    <col min="1" max="2" width="10" customWidth="1"/>
    <col min="3" max="3" width="6.6640625" bestFit="1" customWidth="1"/>
    <col min="4" max="5" width="5.44140625" bestFit="1" customWidth="1"/>
    <col min="6" max="6" width="9.33203125" bestFit="1" customWidth="1"/>
    <col min="7" max="7" width="38.109375" bestFit="1" customWidth="1"/>
    <col min="9" max="9" width="22" bestFit="1" customWidth="1"/>
    <col min="10" max="10" width="13.44140625" bestFit="1" customWidth="1"/>
  </cols>
  <sheetData>
    <row r="1" spans="1:11" ht="15" thickBot="1" x14ac:dyDescent="0.35"/>
    <row r="2" spans="1:11" ht="15" thickBot="1" x14ac:dyDescent="0.35">
      <c r="A2" s="71" t="s">
        <v>254</v>
      </c>
      <c r="B2" s="72"/>
      <c r="C2" s="72"/>
      <c r="D2" s="72"/>
      <c r="E2" s="72"/>
      <c r="F2" s="72"/>
      <c r="G2" s="73"/>
      <c r="I2" s="74" t="s">
        <v>282</v>
      </c>
      <c r="J2" s="75"/>
      <c r="K2" s="8"/>
    </row>
    <row r="3" spans="1:11" x14ac:dyDescent="0.3">
      <c r="A3" s="87" t="s">
        <v>248</v>
      </c>
      <c r="B3" s="92"/>
      <c r="C3" s="92"/>
      <c r="D3" s="92"/>
      <c r="E3" s="92"/>
      <c r="F3" s="88"/>
      <c r="G3" s="89" t="s">
        <v>253</v>
      </c>
      <c r="I3" s="28" t="s">
        <v>269</v>
      </c>
      <c r="J3" s="29" t="s">
        <v>26</v>
      </c>
      <c r="K3" t="s">
        <v>283</v>
      </c>
    </row>
    <row r="4" spans="1:11" x14ac:dyDescent="0.3">
      <c r="A4" s="76" t="s">
        <v>249</v>
      </c>
      <c r="B4" s="80"/>
      <c r="C4" s="80"/>
      <c r="D4" s="80"/>
      <c r="E4" s="80"/>
      <c r="F4" s="77"/>
      <c r="G4" s="90"/>
      <c r="I4" s="28" t="s">
        <v>270</v>
      </c>
      <c r="J4" s="29" t="s">
        <v>26</v>
      </c>
      <c r="K4" t="s">
        <v>283</v>
      </c>
    </row>
    <row r="5" spans="1:11" x14ac:dyDescent="0.3">
      <c r="A5" s="76" t="s">
        <v>250</v>
      </c>
      <c r="B5" s="80"/>
      <c r="C5" s="80"/>
      <c r="D5" s="80"/>
      <c r="E5" s="80"/>
      <c r="F5" s="77"/>
      <c r="G5" s="90"/>
      <c r="I5" s="28" t="s">
        <v>271</v>
      </c>
      <c r="J5" s="29" t="s">
        <v>26</v>
      </c>
      <c r="K5" t="s">
        <v>283</v>
      </c>
    </row>
    <row r="6" spans="1:11" x14ac:dyDescent="0.3">
      <c r="A6" s="76" t="s">
        <v>251</v>
      </c>
      <c r="B6" s="80"/>
      <c r="C6" s="80"/>
      <c r="D6" s="80"/>
      <c r="E6" s="80"/>
      <c r="F6" s="77"/>
      <c r="G6" s="90"/>
      <c r="I6" s="28" t="s">
        <v>272</v>
      </c>
      <c r="J6" s="29" t="s">
        <v>28</v>
      </c>
      <c r="K6" t="s">
        <v>283</v>
      </c>
    </row>
    <row r="7" spans="1:11" ht="15" thickBot="1" x14ac:dyDescent="0.35">
      <c r="A7" s="78" t="s">
        <v>252</v>
      </c>
      <c r="B7" s="81"/>
      <c r="C7" s="81"/>
      <c r="D7" s="81"/>
      <c r="E7" s="81"/>
      <c r="F7" s="79"/>
      <c r="G7" s="91"/>
      <c r="I7" s="28" t="s">
        <v>273</v>
      </c>
      <c r="J7" s="29" t="s">
        <v>199</v>
      </c>
      <c r="K7" t="s">
        <v>283</v>
      </c>
    </row>
    <row r="8" spans="1:11" ht="15" thickBot="1" x14ac:dyDescent="0.35">
      <c r="D8" s="7"/>
      <c r="I8" s="28" t="s">
        <v>274</v>
      </c>
      <c r="J8" s="29" t="s">
        <v>199</v>
      </c>
      <c r="K8" t="s">
        <v>283</v>
      </c>
    </row>
    <row r="9" spans="1:11" ht="18" customHeight="1" thickBot="1" x14ac:dyDescent="0.35">
      <c r="A9" s="82" t="s">
        <v>254</v>
      </c>
      <c r="B9" s="83"/>
      <c r="C9" s="83"/>
      <c r="D9" s="83"/>
      <c r="E9" s="83"/>
      <c r="F9" s="83"/>
      <c r="G9" s="84"/>
      <c r="I9" s="28" t="s">
        <v>275</v>
      </c>
      <c r="J9" s="29" t="s">
        <v>199</v>
      </c>
      <c r="K9" t="s">
        <v>283</v>
      </c>
    </row>
    <row r="10" spans="1:11" ht="15" thickBot="1" x14ac:dyDescent="0.35">
      <c r="I10" s="28" t="s">
        <v>277</v>
      </c>
      <c r="J10" s="29" t="s">
        <v>276</v>
      </c>
      <c r="K10" t="s">
        <v>283</v>
      </c>
    </row>
    <row r="11" spans="1:11" ht="15" thickBot="1" x14ac:dyDescent="0.35">
      <c r="A11" s="85" t="s">
        <v>260</v>
      </c>
      <c r="B11" s="86"/>
      <c r="C11" s="10" t="s">
        <v>259</v>
      </c>
      <c r="D11" s="11" t="s">
        <v>258</v>
      </c>
      <c r="E11" s="11" t="s">
        <v>257</v>
      </c>
      <c r="F11" s="12" t="s">
        <v>256</v>
      </c>
      <c r="G11" s="9" t="s">
        <v>255</v>
      </c>
      <c r="I11" s="28" t="s">
        <v>30</v>
      </c>
      <c r="J11" s="29" t="s">
        <v>28</v>
      </c>
      <c r="K11" s="32" t="s">
        <v>283</v>
      </c>
    </row>
    <row r="12" spans="1:11" x14ac:dyDescent="0.3">
      <c r="A12" s="87" t="s">
        <v>262</v>
      </c>
      <c r="B12" s="88"/>
      <c r="C12" s="14">
        <v>3000</v>
      </c>
      <c r="D12" s="15">
        <v>3000</v>
      </c>
      <c r="E12" s="15">
        <v>0</v>
      </c>
      <c r="F12" s="16" t="s">
        <v>261</v>
      </c>
      <c r="G12" s="22">
        <v>44197</v>
      </c>
      <c r="I12" s="28" t="s">
        <v>32</v>
      </c>
      <c r="J12" s="29" t="s">
        <v>28</v>
      </c>
      <c r="K12" s="32" t="s">
        <v>283</v>
      </c>
    </row>
    <row r="13" spans="1:11" x14ac:dyDescent="0.3">
      <c r="A13" s="76" t="s">
        <v>264</v>
      </c>
      <c r="B13" s="77"/>
      <c r="C13" s="17">
        <v>5000</v>
      </c>
      <c r="D13" s="13">
        <v>2000</v>
      </c>
      <c r="E13" s="13">
        <v>0</v>
      </c>
      <c r="F13" s="18" t="s">
        <v>263</v>
      </c>
      <c r="G13" s="23">
        <v>44317</v>
      </c>
      <c r="I13" s="28" t="s">
        <v>33</v>
      </c>
      <c r="J13" s="29" t="s">
        <v>28</v>
      </c>
      <c r="K13" s="32" t="s">
        <v>283</v>
      </c>
    </row>
    <row r="14" spans="1:11" x14ac:dyDescent="0.3">
      <c r="A14" s="76" t="s">
        <v>266</v>
      </c>
      <c r="B14" s="77"/>
      <c r="C14" s="17">
        <v>4000</v>
      </c>
      <c r="D14" s="13">
        <v>0</v>
      </c>
      <c r="E14" s="13">
        <v>1000</v>
      </c>
      <c r="F14" s="18" t="s">
        <v>265</v>
      </c>
      <c r="G14" s="23">
        <v>44348</v>
      </c>
      <c r="I14" s="28" t="s">
        <v>278</v>
      </c>
      <c r="J14" s="29" t="s">
        <v>26</v>
      </c>
      <c r="K14" s="32" t="s">
        <v>283</v>
      </c>
    </row>
    <row r="15" spans="1:11" x14ac:dyDescent="0.3">
      <c r="A15" s="76" t="s">
        <v>267</v>
      </c>
      <c r="B15" s="77"/>
      <c r="C15" s="17">
        <v>1000</v>
      </c>
      <c r="D15" s="13">
        <v>0</v>
      </c>
      <c r="E15" s="13">
        <v>3000</v>
      </c>
      <c r="F15" s="18" t="s">
        <v>267</v>
      </c>
      <c r="G15" s="23">
        <v>44409</v>
      </c>
      <c r="I15" s="28" t="s">
        <v>278</v>
      </c>
      <c r="J15" s="29" t="s">
        <v>26</v>
      </c>
      <c r="K15" s="32" t="s">
        <v>283</v>
      </c>
    </row>
    <row r="16" spans="1:11" x14ac:dyDescent="0.3">
      <c r="A16" s="76" t="s">
        <v>266</v>
      </c>
      <c r="B16" s="77"/>
      <c r="C16" s="25">
        <v>-500</v>
      </c>
      <c r="D16" s="26">
        <v>0</v>
      </c>
      <c r="E16" s="26">
        <v>1500</v>
      </c>
      <c r="F16" s="27" t="s">
        <v>265</v>
      </c>
      <c r="G16" s="23">
        <v>44440</v>
      </c>
      <c r="I16" s="28" t="s">
        <v>278</v>
      </c>
      <c r="J16" s="29" t="s">
        <v>26</v>
      </c>
      <c r="K16" s="32" t="s">
        <v>283</v>
      </c>
    </row>
    <row r="17" spans="1:11" ht="15" thickBot="1" x14ac:dyDescent="0.35">
      <c r="A17" s="78" t="s">
        <v>268</v>
      </c>
      <c r="B17" s="79"/>
      <c r="C17" s="19">
        <v>0</v>
      </c>
      <c r="D17" s="20">
        <v>500</v>
      </c>
      <c r="E17" s="20">
        <v>0</v>
      </c>
      <c r="F17" s="21" t="s">
        <v>252</v>
      </c>
      <c r="G17" s="24">
        <v>44470</v>
      </c>
      <c r="I17" s="28" t="s">
        <v>279</v>
      </c>
      <c r="J17" s="29" t="s">
        <v>37</v>
      </c>
      <c r="K17" s="32" t="s">
        <v>283</v>
      </c>
    </row>
    <row r="18" spans="1:11" x14ac:dyDescent="0.3">
      <c r="I18" s="28" t="s">
        <v>280</v>
      </c>
      <c r="J18" s="29" t="s">
        <v>28</v>
      </c>
      <c r="K18" t="s">
        <v>283</v>
      </c>
    </row>
    <row r="19" spans="1:11" ht="15" thickBot="1" x14ac:dyDescent="0.35">
      <c r="I19" s="30" t="s">
        <v>281</v>
      </c>
      <c r="J19" s="31" t="s">
        <v>28</v>
      </c>
      <c r="K19" t="s">
        <v>283</v>
      </c>
    </row>
    <row r="23" spans="1:11" x14ac:dyDescent="0.3">
      <c r="G23" t="s">
        <v>284</v>
      </c>
    </row>
    <row r="24" spans="1:11" x14ac:dyDescent="0.3">
      <c r="G24" t="s">
        <v>285</v>
      </c>
    </row>
    <row r="25" spans="1:11" x14ac:dyDescent="0.3">
      <c r="G25" t="s">
        <v>286</v>
      </c>
    </row>
  </sheetData>
  <mergeCells count="16">
    <mergeCell ref="A2:G2"/>
    <mergeCell ref="I2:J2"/>
    <mergeCell ref="A14:B14"/>
    <mergeCell ref="A15:B15"/>
    <mergeCell ref="A17:B17"/>
    <mergeCell ref="A16:B16"/>
    <mergeCell ref="A6:F6"/>
    <mergeCell ref="A7:F7"/>
    <mergeCell ref="A9:G9"/>
    <mergeCell ref="A11:B11"/>
    <mergeCell ref="A12:B12"/>
    <mergeCell ref="A13:B13"/>
    <mergeCell ref="G3:G7"/>
    <mergeCell ref="A3:F3"/>
    <mergeCell ref="A4:F4"/>
    <mergeCell ref="A5:F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XFD1048576"/>
    </sheetView>
  </sheetViews>
  <sheetFormatPr defaultRowHeight="14.4" x14ac:dyDescent="0.3"/>
  <cols>
    <col min="1" max="1" width="14.33203125" bestFit="1" customWidth="1"/>
    <col min="2" max="2" width="4.6640625" bestFit="1" customWidth="1"/>
    <col min="5" max="5" width="18.44140625" bestFit="1" customWidth="1"/>
    <col min="6" max="6" width="4.6640625" bestFit="1" customWidth="1"/>
  </cols>
  <sheetData>
    <row r="1" spans="1:6" x14ac:dyDescent="0.3">
      <c r="A1" t="s">
        <v>287</v>
      </c>
      <c r="B1" s="68" t="s">
        <v>247</v>
      </c>
      <c r="E1" t="s">
        <v>57</v>
      </c>
      <c r="F1" s="68" t="s">
        <v>247</v>
      </c>
    </row>
    <row r="2" spans="1:6" x14ac:dyDescent="0.3">
      <c r="A2" t="s">
        <v>288</v>
      </c>
      <c r="B2" s="68"/>
      <c r="E2" t="s">
        <v>87</v>
      </c>
      <c r="F2" s="68"/>
    </row>
    <row r="3" spans="1:6" x14ac:dyDescent="0.3">
      <c r="A3" t="s">
        <v>289</v>
      </c>
      <c r="B3" s="68"/>
      <c r="E3" t="s">
        <v>300</v>
      </c>
      <c r="F3" s="68"/>
    </row>
    <row r="4" spans="1:6" x14ac:dyDescent="0.3">
      <c r="A4" t="s">
        <v>290</v>
      </c>
      <c r="B4" s="68"/>
      <c r="E4" t="s">
        <v>301</v>
      </c>
      <c r="F4" s="68"/>
    </row>
    <row r="5" spans="1:6" x14ac:dyDescent="0.3">
      <c r="A5" t="s">
        <v>291</v>
      </c>
      <c r="B5" s="68"/>
      <c r="E5" t="s">
        <v>165</v>
      </c>
      <c r="F5" s="68"/>
    </row>
    <row r="6" spans="1:6" x14ac:dyDescent="0.3">
      <c r="A6" t="s">
        <v>292</v>
      </c>
      <c r="B6" s="68"/>
      <c r="E6" t="s">
        <v>302</v>
      </c>
      <c r="F6" s="68"/>
    </row>
    <row r="7" spans="1:6" x14ac:dyDescent="0.3">
      <c r="A7" t="s">
        <v>293</v>
      </c>
      <c r="B7" s="68"/>
      <c r="E7" t="s">
        <v>303</v>
      </c>
      <c r="F7" s="68"/>
    </row>
    <row r="8" spans="1:6" x14ac:dyDescent="0.3">
      <c r="A8" t="s">
        <v>294</v>
      </c>
      <c r="B8" s="68"/>
      <c r="E8" t="s">
        <v>304</v>
      </c>
      <c r="F8" s="68"/>
    </row>
    <row r="9" spans="1:6" x14ac:dyDescent="0.3">
      <c r="A9" t="s">
        <v>295</v>
      </c>
      <c r="B9" s="68"/>
      <c r="E9" t="s">
        <v>305</v>
      </c>
      <c r="F9" s="68"/>
    </row>
    <row r="10" spans="1:6" x14ac:dyDescent="0.3">
      <c r="A10" t="s">
        <v>296</v>
      </c>
      <c r="B10" s="68"/>
      <c r="E10" t="s">
        <v>67</v>
      </c>
      <c r="F10" s="68"/>
    </row>
    <row r="11" spans="1:6" x14ac:dyDescent="0.3">
      <c r="A11" t="s">
        <v>297</v>
      </c>
      <c r="B11" s="68"/>
      <c r="E11" t="s">
        <v>306</v>
      </c>
      <c r="F11" s="68"/>
    </row>
    <row r="12" spans="1:6" x14ac:dyDescent="0.3">
      <c r="A12" t="s">
        <v>55</v>
      </c>
      <c r="B12" s="68"/>
      <c r="E12" t="s">
        <v>307</v>
      </c>
      <c r="F12" s="68"/>
    </row>
    <row r="13" spans="1:6" x14ac:dyDescent="0.3">
      <c r="A13" t="s">
        <v>298</v>
      </c>
      <c r="B13" s="68"/>
      <c r="E13" t="s">
        <v>308</v>
      </c>
      <c r="F13" s="68"/>
    </row>
    <row r="14" spans="1:6" x14ac:dyDescent="0.3">
      <c r="A14" t="s">
        <v>299</v>
      </c>
      <c r="B14" s="68"/>
      <c r="E14" t="s">
        <v>74</v>
      </c>
      <c r="F14" s="68"/>
    </row>
  </sheetData>
  <mergeCells count="2">
    <mergeCell ref="B1:B14"/>
    <mergeCell ref="F1:F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16" zoomScale="85" zoomScaleNormal="85" workbookViewId="0">
      <selection activeCell="F2" sqref="F2:I20"/>
    </sheetView>
  </sheetViews>
  <sheetFormatPr defaultRowHeight="14.4" x14ac:dyDescent="0.3"/>
  <cols>
    <col min="1" max="1" width="23.109375" bestFit="1" customWidth="1"/>
    <col min="2" max="2" width="94.21875" bestFit="1" customWidth="1"/>
    <col min="3" max="3" width="8" customWidth="1"/>
    <col min="4" max="4" width="8" bestFit="1" customWidth="1"/>
    <col min="5" max="5" width="79.77734375" bestFit="1" customWidth="1"/>
    <col min="6" max="6" width="24.5546875" bestFit="1" customWidth="1"/>
    <col min="7" max="7" width="18.109375" bestFit="1" customWidth="1"/>
    <col min="8" max="8" width="19.88671875" bestFit="1" customWidth="1"/>
    <col min="9" max="9" width="18" bestFit="1" customWidth="1"/>
  </cols>
  <sheetData>
    <row r="1" spans="1:10" ht="15.6" x14ac:dyDescent="0.3">
      <c r="A1" s="34" t="s">
        <v>287</v>
      </c>
      <c r="B1" s="93" t="s">
        <v>309</v>
      </c>
      <c r="C1" s="33"/>
    </row>
    <row r="2" spans="1:10" ht="15.6" x14ac:dyDescent="0.3">
      <c r="A2" s="34" t="s">
        <v>319</v>
      </c>
      <c r="B2" s="93"/>
      <c r="C2" s="33"/>
    </row>
    <row r="3" spans="1:10" ht="14.4" customHeight="1" x14ac:dyDescent="0.3">
      <c r="A3" s="34" t="s">
        <v>57</v>
      </c>
      <c r="B3" s="93"/>
      <c r="C3" s="33"/>
    </row>
    <row r="4" spans="1:10" ht="14.4" customHeight="1" x14ac:dyDescent="0.3">
      <c r="A4" s="34" t="s">
        <v>60</v>
      </c>
      <c r="B4" s="93"/>
      <c r="C4" s="33"/>
    </row>
    <row r="5" spans="1:10" ht="15.6" x14ac:dyDescent="0.3">
      <c r="A5" s="34" t="s">
        <v>87</v>
      </c>
      <c r="B5" s="93"/>
      <c r="C5" s="33"/>
      <c r="J5" t="s">
        <v>344</v>
      </c>
    </row>
    <row r="6" spans="1:10" ht="15.6" x14ac:dyDescent="0.3">
      <c r="A6" s="34" t="s">
        <v>300</v>
      </c>
      <c r="B6" s="93"/>
      <c r="C6" s="33"/>
    </row>
    <row r="7" spans="1:10" ht="15.6" x14ac:dyDescent="0.3">
      <c r="A7" s="34" t="s">
        <v>301</v>
      </c>
      <c r="B7" s="93"/>
      <c r="C7" s="33"/>
    </row>
    <row r="8" spans="1:10" ht="15.6" x14ac:dyDescent="0.3">
      <c r="A8" s="34" t="s">
        <v>165</v>
      </c>
      <c r="B8" s="93"/>
      <c r="C8" s="33"/>
    </row>
    <row r="9" spans="1:10" ht="15.6" x14ac:dyDescent="0.3">
      <c r="A9" s="34" t="s">
        <v>302</v>
      </c>
      <c r="B9" s="93"/>
      <c r="C9" s="33"/>
      <c r="J9" t="s">
        <v>344</v>
      </c>
    </row>
    <row r="10" spans="1:10" ht="15.6" x14ac:dyDescent="0.3">
      <c r="A10" s="34" t="s">
        <v>303</v>
      </c>
      <c r="B10" s="93"/>
      <c r="C10" s="33"/>
    </row>
    <row r="11" spans="1:10" ht="15.6" x14ac:dyDescent="0.3">
      <c r="A11" s="34" t="s">
        <v>304</v>
      </c>
      <c r="B11" s="93"/>
      <c r="C11" s="33"/>
    </row>
    <row r="12" spans="1:10" ht="15.6" x14ac:dyDescent="0.3">
      <c r="A12" s="34" t="s">
        <v>305</v>
      </c>
      <c r="B12" s="93"/>
      <c r="C12" s="33"/>
    </row>
    <row r="13" spans="1:10" ht="15.6" x14ac:dyDescent="0.3">
      <c r="A13" s="34" t="s">
        <v>310</v>
      </c>
      <c r="B13" s="93"/>
      <c r="C13" s="33"/>
      <c r="D13">
        <f>3003.75+744.8+5697.36</f>
        <v>9445.91</v>
      </c>
    </row>
    <row r="14" spans="1:10" ht="15.6" x14ac:dyDescent="0.3">
      <c r="A14" s="34" t="s">
        <v>155</v>
      </c>
      <c r="B14" s="93"/>
      <c r="C14" s="33"/>
      <c r="D14">
        <f>3375+760+5904</f>
        <v>10039</v>
      </c>
    </row>
    <row r="15" spans="1:10" ht="15.6" x14ac:dyDescent="0.3">
      <c r="A15" s="34" t="s">
        <v>311</v>
      </c>
      <c r="B15" s="93"/>
      <c r="C15" s="33"/>
      <c r="J15" t="s">
        <v>344</v>
      </c>
    </row>
    <row r="16" spans="1:10" ht="15.6" x14ac:dyDescent="0.3">
      <c r="A16" s="34" t="s">
        <v>312</v>
      </c>
      <c r="B16" s="93"/>
      <c r="C16" s="33"/>
      <c r="D16">
        <f>33000+1267.7</f>
        <v>34267.699999999997</v>
      </c>
    </row>
    <row r="17" spans="1:8" ht="15.6" x14ac:dyDescent="0.3">
      <c r="A17" s="34" t="s">
        <v>67</v>
      </c>
      <c r="B17" s="93"/>
      <c r="C17" s="33"/>
      <c r="E17">
        <f>15*225</f>
        <v>3375</v>
      </c>
    </row>
    <row r="18" spans="1:8" ht="15.6" x14ac:dyDescent="0.3">
      <c r="A18" s="34" t="s">
        <v>306</v>
      </c>
      <c r="B18" s="93"/>
      <c r="C18" s="33"/>
      <c r="E18">
        <f>17700-13000</f>
        <v>4700</v>
      </c>
    </row>
    <row r="19" spans="1:8" ht="15.6" x14ac:dyDescent="0.3">
      <c r="A19" s="34" t="s">
        <v>307</v>
      </c>
      <c r="B19" s="93"/>
      <c r="C19" s="33"/>
      <c r="E19">
        <f>+E18-400</f>
        <v>4300</v>
      </c>
    </row>
    <row r="20" spans="1:8" ht="15.6" x14ac:dyDescent="0.3">
      <c r="A20" s="34" t="s">
        <v>313</v>
      </c>
      <c r="B20" s="93"/>
      <c r="C20" s="33"/>
      <c r="E20" t="s">
        <v>329</v>
      </c>
    </row>
    <row r="21" spans="1:8" ht="15.6" x14ac:dyDescent="0.3">
      <c r="A21" s="34" t="s">
        <v>314</v>
      </c>
      <c r="B21" s="93"/>
      <c r="C21" s="33"/>
    </row>
    <row r="22" spans="1:8" ht="15.6" x14ac:dyDescent="0.3">
      <c r="A22" s="34" t="s">
        <v>315</v>
      </c>
      <c r="B22" s="93"/>
      <c r="C22" s="33"/>
      <c r="H22">
        <f>2000-1956</f>
        <v>44</v>
      </c>
    </row>
    <row r="23" spans="1:8" ht="15.6" x14ac:dyDescent="0.3">
      <c r="A23" s="34" t="s">
        <v>316</v>
      </c>
      <c r="B23" s="93"/>
      <c r="C23" s="33"/>
      <c r="H23">
        <f>+H22+21</f>
        <v>65</v>
      </c>
    </row>
    <row r="24" spans="1:8" ht="15.6" x14ac:dyDescent="0.3">
      <c r="A24" s="34" t="s">
        <v>317</v>
      </c>
      <c r="B24" s="93"/>
      <c r="C24" s="33"/>
    </row>
    <row r="25" spans="1:8" ht="15.6" x14ac:dyDescent="0.3">
      <c r="A25" s="34" t="s">
        <v>318</v>
      </c>
      <c r="B25" s="93"/>
      <c r="C25" s="33"/>
      <c r="D25">
        <v>25</v>
      </c>
    </row>
    <row r="26" spans="1:8" ht="15.6" x14ac:dyDescent="0.3">
      <c r="A26" s="34" t="s">
        <v>321</v>
      </c>
      <c r="B26" s="93"/>
      <c r="C26" s="33"/>
      <c r="D26">
        <v>10</v>
      </c>
    </row>
    <row r="27" spans="1:8" ht="15.6" x14ac:dyDescent="0.3">
      <c r="A27" s="34" t="s">
        <v>320</v>
      </c>
      <c r="B27" s="93"/>
      <c r="C27" s="33"/>
      <c r="D27">
        <v>5</v>
      </c>
    </row>
    <row r="28" spans="1:8" ht="15.6" x14ac:dyDescent="0.3">
      <c r="A28" s="34" t="s">
        <v>74</v>
      </c>
      <c r="B28" s="93"/>
      <c r="C28" s="33"/>
      <c r="D28">
        <v>0.33300000000000002</v>
      </c>
    </row>
    <row r="29" spans="1:8" x14ac:dyDescent="0.3">
      <c r="D29">
        <v>0.33300000000000002</v>
      </c>
    </row>
    <row r="30" spans="1:8" ht="15.6" x14ac:dyDescent="0.3">
      <c r="A30" s="34" t="s">
        <v>322</v>
      </c>
      <c r="D30">
        <v>0.66700000000000004</v>
      </c>
    </row>
    <row r="31" spans="1:8" ht="15.6" x14ac:dyDescent="0.3">
      <c r="A31" s="34" t="s">
        <v>323</v>
      </c>
      <c r="D31">
        <v>40</v>
      </c>
    </row>
    <row r="32" spans="1:8" ht="15.6" x14ac:dyDescent="0.3">
      <c r="A32" s="34" t="s">
        <v>324</v>
      </c>
      <c r="D32">
        <v>10</v>
      </c>
    </row>
    <row r="33" spans="1:1" ht="15.6" x14ac:dyDescent="0.3">
      <c r="A33" s="34" t="s">
        <v>325</v>
      </c>
    </row>
    <row r="34" spans="1:1" ht="15.6" x14ac:dyDescent="0.3">
      <c r="A34" s="34" t="s">
        <v>326</v>
      </c>
    </row>
    <row r="35" spans="1:1" ht="15.6" x14ac:dyDescent="0.3">
      <c r="A35" s="34" t="s">
        <v>327</v>
      </c>
    </row>
    <row r="36" spans="1:1" ht="15.6" x14ac:dyDescent="0.3">
      <c r="A36" s="34" t="s">
        <v>328</v>
      </c>
    </row>
  </sheetData>
  <mergeCells count="1">
    <mergeCell ref="B1:B2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43" zoomScale="120" zoomScaleNormal="120" workbookViewId="0">
      <selection activeCell="G47" sqref="G47"/>
    </sheetView>
  </sheetViews>
  <sheetFormatPr defaultRowHeight="14.4" x14ac:dyDescent="0.3"/>
  <cols>
    <col min="1" max="1" width="2" bestFit="1" customWidth="1"/>
    <col min="2" max="2" width="8.6640625" bestFit="1" customWidth="1"/>
    <col min="3" max="4" width="7.5546875" bestFit="1" customWidth="1"/>
    <col min="5" max="5" width="8.77734375" bestFit="1" customWidth="1"/>
    <col min="6" max="6" width="5.44140625" bestFit="1" customWidth="1"/>
    <col min="7" max="7" width="9.88671875" bestFit="1" customWidth="1"/>
    <col min="9" max="9" width="8" bestFit="1" customWidth="1"/>
    <col min="10" max="10" width="18.5546875" bestFit="1" customWidth="1"/>
    <col min="11" max="11" width="20.6640625" bestFit="1" customWidth="1"/>
    <col min="12" max="12" width="18.5546875" bestFit="1" customWidth="1"/>
  </cols>
  <sheetData>
    <row r="1" spans="1:19" x14ac:dyDescent="0.3">
      <c r="A1" s="37">
        <v>1</v>
      </c>
      <c r="B1" s="37" t="s">
        <v>345</v>
      </c>
      <c r="C1" s="37">
        <v>116.333</v>
      </c>
      <c r="D1" s="37">
        <v>349</v>
      </c>
      <c r="E1" s="37">
        <v>3490</v>
      </c>
      <c r="F1" s="37" t="b">
        <v>1</v>
      </c>
      <c r="I1" s="35" t="s">
        <v>428</v>
      </c>
      <c r="J1" s="35" t="s">
        <v>332</v>
      </c>
      <c r="K1" s="35" t="s">
        <v>333</v>
      </c>
      <c r="L1" s="35" t="s">
        <v>334</v>
      </c>
    </row>
    <row r="2" spans="1:19" ht="28.8" x14ac:dyDescent="0.3">
      <c r="A2" s="37">
        <v>2</v>
      </c>
      <c r="B2" s="37" t="s">
        <v>346</v>
      </c>
      <c r="C2" s="37">
        <v>205.625</v>
      </c>
      <c r="D2" s="37">
        <v>411.25</v>
      </c>
      <c r="E2" s="37">
        <v>1645</v>
      </c>
      <c r="F2" s="37" t="b">
        <v>1</v>
      </c>
      <c r="I2" s="35">
        <v>203.75</v>
      </c>
      <c r="J2" s="35" t="s">
        <v>335</v>
      </c>
      <c r="K2" s="35" t="s">
        <v>338</v>
      </c>
      <c r="L2" s="35" t="s">
        <v>340</v>
      </c>
    </row>
    <row r="3" spans="1:19" x14ac:dyDescent="0.3">
      <c r="A3" s="37">
        <v>3</v>
      </c>
      <c r="B3" s="37" t="s">
        <v>347</v>
      </c>
      <c r="C3" s="37">
        <v>156.667</v>
      </c>
      <c r="D3" s="37">
        <v>313.33300000000003</v>
      </c>
      <c r="E3" s="37">
        <v>1880</v>
      </c>
      <c r="F3" s="37" t="b">
        <v>1</v>
      </c>
      <c r="I3" s="35">
        <v>407.5</v>
      </c>
      <c r="J3" s="35">
        <f>+K3/2</f>
        <v>1.25</v>
      </c>
      <c r="K3" s="35">
        <f>10/4</f>
        <v>2.5</v>
      </c>
      <c r="L3" s="35"/>
      <c r="M3">
        <f>25/4</f>
        <v>6.25</v>
      </c>
      <c r="N3">
        <f>+M3/2</f>
        <v>3.125</v>
      </c>
    </row>
    <row r="4" spans="1:19" x14ac:dyDescent="0.3">
      <c r="A4">
        <v>4</v>
      </c>
      <c r="B4" t="s">
        <v>348</v>
      </c>
      <c r="C4">
        <v>45</v>
      </c>
      <c r="D4">
        <v>90</v>
      </c>
      <c r="E4">
        <v>450</v>
      </c>
      <c r="F4" t="b">
        <v>1</v>
      </c>
      <c r="I4" s="35">
        <v>1630</v>
      </c>
      <c r="J4" s="46">
        <v>203.5</v>
      </c>
      <c r="K4" s="46">
        <f>+J4*2</f>
        <v>407</v>
      </c>
      <c r="L4" s="46">
        <f>+K4*4</f>
        <v>1628</v>
      </c>
      <c r="O4" s="38">
        <f>+J4-N3</f>
        <v>200.375</v>
      </c>
    </row>
    <row r="5" spans="1:19" x14ac:dyDescent="0.3">
      <c r="I5" s="35"/>
      <c r="J5" s="35">
        <f>+K5/2</f>
        <v>3.125</v>
      </c>
      <c r="K5" s="35">
        <v>6.25</v>
      </c>
      <c r="L5" s="35"/>
      <c r="M5">
        <f>+J8-12</f>
        <v>109.083</v>
      </c>
    </row>
    <row r="6" spans="1:19" x14ac:dyDescent="0.3">
      <c r="I6" s="35" t="s">
        <v>429</v>
      </c>
      <c r="J6" s="35"/>
      <c r="K6" s="35"/>
      <c r="L6" s="35"/>
      <c r="P6" t="s">
        <v>435</v>
      </c>
    </row>
    <row r="7" spans="1:19" x14ac:dyDescent="0.3">
      <c r="I7" s="35">
        <v>146.667</v>
      </c>
      <c r="J7" s="35" t="s">
        <v>335</v>
      </c>
      <c r="K7" s="35" t="s">
        <v>338</v>
      </c>
      <c r="L7" s="35" t="s">
        <v>341</v>
      </c>
      <c r="M7">
        <f>29*2</f>
        <v>58</v>
      </c>
      <c r="P7" t="s">
        <v>436</v>
      </c>
    </row>
    <row r="8" spans="1:19" x14ac:dyDescent="0.3">
      <c r="C8">
        <f>3962+587.4+100+0.92-0.32</f>
        <v>4650</v>
      </c>
      <c r="H8">
        <f>316.167-50</f>
        <v>266.16699999999997</v>
      </c>
      <c r="I8" s="35">
        <v>293.33300000000003</v>
      </c>
      <c r="J8" s="46">
        <v>121.083</v>
      </c>
      <c r="K8" s="51">
        <f>+J8*2</f>
        <v>242.166</v>
      </c>
      <c r="L8" s="51">
        <f>+K8*6</f>
        <v>1452.9960000000001</v>
      </c>
      <c r="M8">
        <f>+M7*6</f>
        <v>348</v>
      </c>
      <c r="P8" t="s">
        <v>360</v>
      </c>
      <c r="S8">
        <f>225-2.6</f>
        <v>222.4</v>
      </c>
    </row>
    <row r="9" spans="1:19" x14ac:dyDescent="0.3">
      <c r="G9" s="38">
        <f>+J8-1.667</f>
        <v>119.416</v>
      </c>
      <c r="H9">
        <f>+J8-29</f>
        <v>92.082999999999998</v>
      </c>
      <c r="I9" s="35">
        <v>1760</v>
      </c>
      <c r="J9" s="35"/>
      <c r="K9" s="35">
        <f>303.333*6</f>
        <v>1819.998</v>
      </c>
      <c r="L9" s="35">
        <f>1940-L8</f>
        <v>487.00399999999991</v>
      </c>
      <c r="O9">
        <f>2566+4560</f>
        <v>7126</v>
      </c>
      <c r="P9" t="s">
        <v>437</v>
      </c>
      <c r="S9">
        <f>225*2.6/100</f>
        <v>5.85</v>
      </c>
    </row>
    <row r="10" spans="1:19" x14ac:dyDescent="0.3">
      <c r="B10">
        <f>200*1.269</f>
        <v>253.79999999999998</v>
      </c>
      <c r="H10">
        <f>+J8-29</f>
        <v>92.082999999999998</v>
      </c>
      <c r="I10" s="35"/>
      <c r="J10" s="35">
        <v>159.167</v>
      </c>
      <c r="K10" s="35">
        <f>+J10*2</f>
        <v>318.334</v>
      </c>
      <c r="L10" s="35">
        <f>+K10*6</f>
        <v>1910.0039999999999</v>
      </c>
      <c r="M10" s="38">
        <f>+L8-20</f>
        <v>1432.9960000000001</v>
      </c>
      <c r="S10">
        <f>225-S9</f>
        <v>219.15</v>
      </c>
    </row>
    <row r="11" spans="1:19" x14ac:dyDescent="0.3">
      <c r="B11">
        <f>96*3.475</f>
        <v>333.6</v>
      </c>
      <c r="G11">
        <f>316.167+25</f>
        <v>341.16699999999997</v>
      </c>
      <c r="I11" s="35" t="s">
        <v>430</v>
      </c>
      <c r="J11" s="35"/>
      <c r="K11" s="35"/>
      <c r="L11" s="35"/>
      <c r="S11">
        <f>+S10*5</f>
        <v>1095.75</v>
      </c>
    </row>
    <row r="12" spans="1:19" x14ac:dyDescent="0.3">
      <c r="G12">
        <f>50/2</f>
        <v>25</v>
      </c>
      <c r="H12">
        <f>+J8-25</f>
        <v>96.082999999999998</v>
      </c>
      <c r="I12" s="35">
        <v>10</v>
      </c>
      <c r="J12" s="35" t="s">
        <v>335</v>
      </c>
      <c r="K12" s="35" t="s">
        <v>338</v>
      </c>
      <c r="L12" s="35" t="s">
        <v>342</v>
      </c>
      <c r="M12">
        <f>20/6</f>
        <v>3.3333333333333335</v>
      </c>
      <c r="P12">
        <f>200/5</f>
        <v>40</v>
      </c>
      <c r="Q12">
        <f>3962.92+100+587.4-0.32</f>
        <v>4650</v>
      </c>
      <c r="S12">
        <f>225*5</f>
        <v>1125</v>
      </c>
    </row>
    <row r="13" spans="1:19" x14ac:dyDescent="0.3">
      <c r="D13">
        <f>+D14+25</f>
        <v>142.501</v>
      </c>
      <c r="I13" s="35">
        <v>20</v>
      </c>
      <c r="J13" s="35">
        <v>87.5</v>
      </c>
      <c r="K13" s="35"/>
      <c r="L13" s="35"/>
      <c r="M13" s="50">
        <f>+M12/2</f>
        <v>1.6666666666666667</v>
      </c>
      <c r="P13">
        <f>+P12/2</f>
        <v>20</v>
      </c>
    </row>
    <row r="14" spans="1:19" x14ac:dyDescent="0.3">
      <c r="C14">
        <f>+D14-25</f>
        <v>92.501000000000005</v>
      </c>
      <c r="D14">
        <f>+E14+25</f>
        <v>117.501</v>
      </c>
      <c r="E14">
        <f>117.501-25</f>
        <v>92.501000000000005</v>
      </c>
      <c r="G14">
        <f>1917+20</f>
        <v>1937</v>
      </c>
      <c r="I14" s="35">
        <v>100</v>
      </c>
      <c r="J14" s="46">
        <v>87.5</v>
      </c>
      <c r="K14" s="47">
        <f>+J14*2</f>
        <v>175</v>
      </c>
      <c r="L14" s="47">
        <f>+K14*5</f>
        <v>875</v>
      </c>
      <c r="M14" s="50">
        <f>+J8-M13</f>
        <v>119.41633333333333</v>
      </c>
      <c r="N14">
        <f>300/5</f>
        <v>60</v>
      </c>
    </row>
    <row r="15" spans="1:19" x14ac:dyDescent="0.3">
      <c r="E15">
        <f>1917-20</f>
        <v>1897</v>
      </c>
      <c r="G15">
        <f>1917+1.667</f>
        <v>1918.6669999999999</v>
      </c>
      <c r="I15" s="35"/>
      <c r="J15" s="35"/>
      <c r="K15" s="35">
        <f>90*5</f>
        <v>450</v>
      </c>
      <c r="L15" s="35"/>
      <c r="N15">
        <f>+N14/2</f>
        <v>30</v>
      </c>
    </row>
    <row r="16" spans="1:19" x14ac:dyDescent="0.3">
      <c r="C16">
        <v>1917</v>
      </c>
      <c r="G16">
        <f>+C16-1.667</f>
        <v>1915.3330000000001</v>
      </c>
      <c r="I16" s="35" t="s">
        <v>431</v>
      </c>
      <c r="J16" s="35"/>
      <c r="K16" s="35"/>
      <c r="L16" s="35"/>
      <c r="P16">
        <f>92.501-5</f>
        <v>87.501000000000005</v>
      </c>
    </row>
    <row r="17" spans="5:16" x14ac:dyDescent="0.3">
      <c r="E17" s="50">
        <f>117.501+25</f>
        <v>142.501</v>
      </c>
      <c r="H17">
        <f>316-50</f>
        <v>266</v>
      </c>
      <c r="I17" s="35"/>
      <c r="J17" s="35" t="s">
        <v>335</v>
      </c>
      <c r="K17" s="35" t="s">
        <v>339</v>
      </c>
      <c r="L17" s="35" t="s">
        <v>343</v>
      </c>
      <c r="P17">
        <f>316.167-50</f>
        <v>266.16699999999997</v>
      </c>
    </row>
    <row r="18" spans="5:16" x14ac:dyDescent="0.3">
      <c r="I18" s="35"/>
      <c r="J18" s="35">
        <f>1.5/3</f>
        <v>0.5</v>
      </c>
      <c r="K18" s="35">
        <f>15/10</f>
        <v>1.5</v>
      </c>
      <c r="L18" s="35">
        <v>15</v>
      </c>
      <c r="M18">
        <f>+J19-M19</f>
        <v>74.167333333333332</v>
      </c>
    </row>
    <row r="19" spans="5:16" x14ac:dyDescent="0.3">
      <c r="G19">
        <f>+J19-5</f>
        <v>75.834000000000003</v>
      </c>
      <c r="H19">
        <f>+J19-30</f>
        <v>50.834000000000003</v>
      </c>
      <c r="I19" s="35" t="s">
        <v>344</v>
      </c>
      <c r="J19" s="46">
        <v>80.834000000000003</v>
      </c>
      <c r="K19" s="47">
        <f>+J19*3</f>
        <v>242.50200000000001</v>
      </c>
      <c r="L19" s="47">
        <f>+K19*10</f>
        <v>2425.02</v>
      </c>
      <c r="M19">
        <f>20/3</f>
        <v>6.666666666666667</v>
      </c>
      <c r="P19">
        <f>316.167-291.167</f>
        <v>25</v>
      </c>
    </row>
    <row r="20" spans="5:16" x14ac:dyDescent="0.3">
      <c r="G20">
        <f>+J19-25</f>
        <v>55.834000000000003</v>
      </c>
      <c r="J20" s="39">
        <v>125.833</v>
      </c>
      <c r="K20" s="36">
        <f>+J20*3</f>
        <v>377.49900000000002</v>
      </c>
      <c r="L20" s="36">
        <f>+K20*10</f>
        <v>3774.9900000000002</v>
      </c>
    </row>
    <row r="22" spans="5:16" x14ac:dyDescent="0.3">
      <c r="I22" s="35" t="s">
        <v>336</v>
      </c>
      <c r="J22" s="41">
        <f>+J20-5</f>
        <v>120.833</v>
      </c>
      <c r="K22">
        <f>+J22*3</f>
        <v>362.49900000000002</v>
      </c>
      <c r="L22">
        <f>+K22*10</f>
        <v>3624.9900000000002</v>
      </c>
    </row>
    <row r="23" spans="5:16" x14ac:dyDescent="0.3">
      <c r="I23" s="35" t="s">
        <v>330</v>
      </c>
      <c r="J23" s="38">
        <f>+J10-7.5</f>
        <v>151.667</v>
      </c>
      <c r="K23">
        <f>+J23*2</f>
        <v>303.334</v>
      </c>
      <c r="L23">
        <f>+K23*6</f>
        <v>1820.0039999999999</v>
      </c>
    </row>
    <row r="24" spans="5:16" x14ac:dyDescent="0.3">
      <c r="I24" s="35" t="s">
        <v>337</v>
      </c>
      <c r="J24">
        <f>+J4-J5</f>
        <v>200.375</v>
      </c>
      <c r="K24">
        <f>+J24*2</f>
        <v>400.75</v>
      </c>
      <c r="L24">
        <f>+K24*4</f>
        <v>1603</v>
      </c>
    </row>
    <row r="25" spans="5:16" x14ac:dyDescent="0.3">
      <c r="I25" s="35" t="s">
        <v>331</v>
      </c>
      <c r="J25">
        <f>+J14-25</f>
        <v>62.5</v>
      </c>
      <c r="K25" s="40">
        <f>+J25*2</f>
        <v>125</v>
      </c>
      <c r="L25">
        <f>+K25*5</f>
        <v>625</v>
      </c>
    </row>
    <row r="27" spans="5:16" x14ac:dyDescent="0.3">
      <c r="L27">
        <f>31500+17400</f>
        <v>48900</v>
      </c>
    </row>
    <row r="28" spans="5:16" x14ac:dyDescent="0.3">
      <c r="J28">
        <f>569+14866+7820+18200-5000-400-3000</f>
        <v>33055</v>
      </c>
      <c r="L28">
        <f>63150+25000</f>
        <v>88150</v>
      </c>
    </row>
    <row r="29" spans="5:16" x14ac:dyDescent="0.3">
      <c r="I29">
        <f>147.501+30</f>
        <v>177.501</v>
      </c>
      <c r="L29">
        <f>+L28+17400</f>
        <v>105550</v>
      </c>
    </row>
    <row r="31" spans="5:16" x14ac:dyDescent="0.3">
      <c r="J31">
        <f>30*1.6</f>
        <v>48</v>
      </c>
      <c r="K31">
        <f>30*202.5</f>
        <v>6075</v>
      </c>
    </row>
    <row r="32" spans="5:16" x14ac:dyDescent="0.3">
      <c r="J32">
        <f>29*1.353</f>
        <v>39.237000000000002</v>
      </c>
      <c r="K32">
        <f>29*600.24</f>
        <v>17406.96</v>
      </c>
    </row>
    <row r="33" spans="10:13" x14ac:dyDescent="0.3">
      <c r="J33" s="40">
        <f>SUM(J31:J32)</f>
        <v>87.236999999999995</v>
      </c>
      <c r="K33">
        <f>SUM(K31:K32)</f>
        <v>23481.96</v>
      </c>
    </row>
    <row r="35" spans="10:13" x14ac:dyDescent="0.3">
      <c r="K35">
        <f>24882.34+100+87.24-23481.96-69.58</f>
        <v>1518.0400000000027</v>
      </c>
      <c r="L35" s="48" t="s">
        <v>432</v>
      </c>
    </row>
    <row r="37" spans="10:13" x14ac:dyDescent="0.3">
      <c r="J37" s="49" t="s">
        <v>433</v>
      </c>
      <c r="K37">
        <f>147.501+30</f>
        <v>177.501</v>
      </c>
      <c r="L37" s="48" t="s">
        <v>434</v>
      </c>
    </row>
    <row r="38" spans="10:13" x14ac:dyDescent="0.3">
      <c r="K38">
        <f>188.75+29</f>
        <v>217.75</v>
      </c>
    </row>
    <row r="39" spans="10:13" x14ac:dyDescent="0.3">
      <c r="J39">
        <v>656</v>
      </c>
    </row>
    <row r="40" spans="10:13" x14ac:dyDescent="0.3">
      <c r="J40">
        <f>+J39*3.8/100</f>
        <v>24.927999999999997</v>
      </c>
      <c r="K40">
        <v>219.375</v>
      </c>
      <c r="L40">
        <f>+K40+1.6-202.5</f>
        <v>18.474999999999994</v>
      </c>
      <c r="M40">
        <f>+L40*30</f>
        <v>554.24999999999977</v>
      </c>
    </row>
    <row r="41" spans="10:13" x14ac:dyDescent="0.3">
      <c r="J41">
        <f>+J39-J40</f>
        <v>631.072</v>
      </c>
      <c r="K41">
        <v>631.072</v>
      </c>
      <c r="L41">
        <f>+K41+1.353-600.24</f>
        <v>32.184999999999945</v>
      </c>
      <c r="M41">
        <f>+L41*29</f>
        <v>933.36499999999842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79"/>
  <sheetViews>
    <sheetView topLeftCell="A19" zoomScale="120" zoomScaleNormal="120" workbookViewId="0">
      <selection activeCell="H51" sqref="H51"/>
    </sheetView>
  </sheetViews>
  <sheetFormatPr defaultRowHeight="14.4" x14ac:dyDescent="0.3"/>
  <cols>
    <col min="1" max="1" width="15.44140625" bestFit="1" customWidth="1"/>
    <col min="2" max="2" width="4.6640625" bestFit="1" customWidth="1"/>
    <col min="3" max="3" width="8.88671875" customWidth="1"/>
    <col min="5" max="5" width="19.88671875" bestFit="1" customWidth="1"/>
    <col min="6" max="6" width="12.88671875" bestFit="1" customWidth="1"/>
    <col min="7" max="7" width="15" customWidth="1"/>
    <col min="8" max="8" width="32.109375" bestFit="1" customWidth="1"/>
    <col min="9" max="9" width="13.21875" bestFit="1" customWidth="1"/>
    <col min="10" max="10" width="22.109375" bestFit="1" customWidth="1"/>
  </cols>
  <sheetData>
    <row r="1" spans="1:10" ht="14.4" customHeight="1" thickBot="1" x14ac:dyDescent="0.35">
      <c r="A1" t="s">
        <v>349</v>
      </c>
      <c r="B1" s="68" t="s">
        <v>247</v>
      </c>
      <c r="E1" s="94" t="s">
        <v>390</v>
      </c>
      <c r="F1" s="95"/>
      <c r="H1" s="94" t="s">
        <v>391</v>
      </c>
      <c r="I1" s="95"/>
    </row>
    <row r="2" spans="1:10" x14ac:dyDescent="0.3">
      <c r="A2" t="s">
        <v>350</v>
      </c>
      <c r="B2" s="68"/>
      <c r="E2" s="43" t="s">
        <v>369</v>
      </c>
      <c r="F2" s="43" t="s">
        <v>26</v>
      </c>
      <c r="H2" s="44" t="s">
        <v>392</v>
      </c>
      <c r="I2" s="43" t="s">
        <v>26</v>
      </c>
      <c r="J2" t="s">
        <v>124</v>
      </c>
    </row>
    <row r="3" spans="1:10" x14ac:dyDescent="0.3">
      <c r="A3" t="s">
        <v>351</v>
      </c>
      <c r="B3" s="68"/>
      <c r="E3" s="42" t="s">
        <v>375</v>
      </c>
      <c r="F3" s="42" t="s">
        <v>28</v>
      </c>
      <c r="H3" s="45" t="s">
        <v>393</v>
      </c>
      <c r="I3" s="42" t="s">
        <v>26</v>
      </c>
      <c r="J3" t="s">
        <v>141</v>
      </c>
    </row>
    <row r="4" spans="1:10" x14ac:dyDescent="0.3">
      <c r="A4" t="s">
        <v>352</v>
      </c>
      <c r="B4" s="68"/>
      <c r="E4" s="42" t="s">
        <v>376</v>
      </c>
      <c r="F4" s="42" t="s">
        <v>26</v>
      </c>
      <c r="H4" s="45" t="s">
        <v>394</v>
      </c>
      <c r="I4" s="42" t="s">
        <v>26</v>
      </c>
      <c r="J4" t="s">
        <v>142</v>
      </c>
    </row>
    <row r="5" spans="1:10" x14ac:dyDescent="0.3">
      <c r="A5" t="s">
        <v>353</v>
      </c>
      <c r="B5" s="68"/>
      <c r="E5" s="42" t="s">
        <v>377</v>
      </c>
      <c r="F5" s="42" t="s">
        <v>26</v>
      </c>
      <c r="H5" s="45" t="s">
        <v>395</v>
      </c>
      <c r="I5" s="42" t="s">
        <v>26</v>
      </c>
      <c r="J5" t="s">
        <v>105</v>
      </c>
    </row>
    <row r="6" spans="1:10" x14ac:dyDescent="0.3">
      <c r="A6" t="s">
        <v>354</v>
      </c>
      <c r="B6" s="68"/>
      <c r="E6" s="42" t="s">
        <v>378</v>
      </c>
      <c r="F6" s="42" t="s">
        <v>26</v>
      </c>
      <c r="H6" s="45" t="s">
        <v>396</v>
      </c>
      <c r="I6" s="42" t="s">
        <v>45</v>
      </c>
      <c r="J6" t="s">
        <v>143</v>
      </c>
    </row>
    <row r="7" spans="1:10" x14ac:dyDescent="0.3">
      <c r="B7" s="68"/>
      <c r="E7" s="42"/>
      <c r="F7" s="42"/>
      <c r="H7" s="45" t="s">
        <v>421</v>
      </c>
      <c r="I7" s="42" t="s">
        <v>45</v>
      </c>
    </row>
    <row r="8" spans="1:10" x14ac:dyDescent="0.3">
      <c r="A8" t="s">
        <v>355</v>
      </c>
      <c r="B8" s="68"/>
      <c r="E8" s="42" t="s">
        <v>379</v>
      </c>
      <c r="F8" s="42" t="s">
        <v>199</v>
      </c>
      <c r="H8" s="45" t="s">
        <v>397</v>
      </c>
      <c r="I8" s="42" t="s">
        <v>28</v>
      </c>
      <c r="J8" t="s">
        <v>144</v>
      </c>
    </row>
    <row r="9" spans="1:10" x14ac:dyDescent="0.3">
      <c r="A9" t="s">
        <v>356</v>
      </c>
      <c r="B9" s="68"/>
      <c r="E9" s="42" t="s">
        <v>380</v>
      </c>
      <c r="F9" s="42" t="s">
        <v>199</v>
      </c>
      <c r="H9" s="45" t="s">
        <v>398</v>
      </c>
      <c r="I9" s="42" t="s">
        <v>45</v>
      </c>
      <c r="J9" t="s">
        <v>145</v>
      </c>
    </row>
    <row r="10" spans="1:10" x14ac:dyDescent="0.3">
      <c r="B10" s="68"/>
      <c r="E10" s="42" t="s">
        <v>381</v>
      </c>
      <c r="F10" s="42" t="s">
        <v>199</v>
      </c>
      <c r="H10" s="42" t="s">
        <v>399</v>
      </c>
      <c r="I10" s="42" t="s">
        <v>45</v>
      </c>
      <c r="J10" t="s">
        <v>146</v>
      </c>
    </row>
    <row r="11" spans="1:10" x14ac:dyDescent="0.3">
      <c r="B11" s="68"/>
      <c r="E11" s="42" t="s">
        <v>382</v>
      </c>
      <c r="F11" s="42" t="s">
        <v>26</v>
      </c>
      <c r="H11" s="42" t="s">
        <v>400</v>
      </c>
      <c r="I11" s="42" t="s">
        <v>28</v>
      </c>
      <c r="J11" t="s">
        <v>147</v>
      </c>
    </row>
    <row r="12" spans="1:10" x14ac:dyDescent="0.3">
      <c r="B12" s="68"/>
      <c r="E12" s="42"/>
      <c r="F12" s="42"/>
      <c r="H12" s="42" t="s">
        <v>422</v>
      </c>
      <c r="I12" s="42" t="s">
        <v>45</v>
      </c>
    </row>
    <row r="13" spans="1:10" x14ac:dyDescent="0.3">
      <c r="B13" s="68"/>
      <c r="E13" s="42" t="s">
        <v>383</v>
      </c>
      <c r="F13" s="42" t="s">
        <v>199</v>
      </c>
      <c r="H13" s="42" t="s">
        <v>423</v>
      </c>
      <c r="I13" s="42" t="s">
        <v>45</v>
      </c>
      <c r="J13" t="s">
        <v>150</v>
      </c>
    </row>
    <row r="14" spans="1:10" x14ac:dyDescent="0.3">
      <c r="B14" s="68"/>
      <c r="E14" s="42"/>
      <c r="F14" s="42"/>
      <c r="H14" s="42" t="s">
        <v>424</v>
      </c>
      <c r="I14" s="42" t="s">
        <v>45</v>
      </c>
    </row>
    <row r="15" spans="1:10" x14ac:dyDescent="0.3">
      <c r="B15" s="68"/>
      <c r="E15" s="42" t="s">
        <v>384</v>
      </c>
      <c r="F15" s="42" t="s">
        <v>199</v>
      </c>
      <c r="H15" s="42" t="s">
        <v>401</v>
      </c>
      <c r="I15" s="42" t="s">
        <v>45</v>
      </c>
      <c r="J15" t="s">
        <v>114</v>
      </c>
    </row>
    <row r="16" spans="1:10" x14ac:dyDescent="0.3">
      <c r="B16" s="68"/>
      <c r="E16" s="42" t="s">
        <v>385</v>
      </c>
      <c r="F16" s="42" t="s">
        <v>199</v>
      </c>
      <c r="H16" s="42" t="s">
        <v>425</v>
      </c>
      <c r="I16" s="42" t="s">
        <v>45</v>
      </c>
      <c r="J16" t="s">
        <v>149</v>
      </c>
    </row>
    <row r="17" spans="1:10" x14ac:dyDescent="0.3">
      <c r="B17" s="68"/>
      <c r="E17" s="42" t="s">
        <v>386</v>
      </c>
      <c r="F17" s="42" t="s">
        <v>199</v>
      </c>
      <c r="H17" s="42" t="s">
        <v>426</v>
      </c>
      <c r="I17" s="42" t="s">
        <v>45</v>
      </c>
      <c r="J17" t="s">
        <v>148</v>
      </c>
    </row>
    <row r="18" spans="1:10" x14ac:dyDescent="0.3">
      <c r="B18" s="68"/>
      <c r="E18" s="42" t="s">
        <v>387</v>
      </c>
      <c r="F18" s="42" t="s">
        <v>199</v>
      </c>
      <c r="H18" s="42" t="s">
        <v>402</v>
      </c>
      <c r="I18" s="42" t="s">
        <v>45</v>
      </c>
      <c r="J18" t="s">
        <v>117</v>
      </c>
    </row>
    <row r="19" spans="1:10" x14ac:dyDescent="0.3">
      <c r="B19" s="68"/>
      <c r="E19" s="42" t="s">
        <v>388</v>
      </c>
      <c r="F19" s="42" t="s">
        <v>199</v>
      </c>
      <c r="H19" s="42" t="s">
        <v>403</v>
      </c>
      <c r="I19" s="42" t="s">
        <v>45</v>
      </c>
      <c r="J19" t="s">
        <v>151</v>
      </c>
    </row>
    <row r="20" spans="1:10" x14ac:dyDescent="0.3">
      <c r="B20" s="68"/>
      <c r="E20" s="42" t="s">
        <v>389</v>
      </c>
      <c r="F20" s="42" t="s">
        <v>199</v>
      </c>
      <c r="H20" s="42" t="s">
        <v>404</v>
      </c>
      <c r="I20" s="42" t="s">
        <v>45</v>
      </c>
      <c r="J20" t="s">
        <v>152</v>
      </c>
    </row>
    <row r="21" spans="1:10" x14ac:dyDescent="0.3">
      <c r="A21" t="s">
        <v>357</v>
      </c>
      <c r="B21" s="68"/>
      <c r="E21" s="42" t="s">
        <v>374</v>
      </c>
      <c r="F21" s="42" t="s">
        <v>43</v>
      </c>
      <c r="H21" s="42" t="s">
        <v>405</v>
      </c>
      <c r="I21" s="42" t="s">
        <v>45</v>
      </c>
      <c r="J21" t="s">
        <v>153</v>
      </c>
    </row>
    <row r="22" spans="1:10" x14ac:dyDescent="0.3">
      <c r="A22" t="s">
        <v>358</v>
      </c>
      <c r="B22" s="68"/>
      <c r="E22" s="42" t="s">
        <v>30</v>
      </c>
      <c r="F22" s="42" t="s">
        <v>28</v>
      </c>
      <c r="H22" s="42" t="s">
        <v>406</v>
      </c>
      <c r="I22" s="42" t="s">
        <v>43</v>
      </c>
      <c r="J22" t="s">
        <v>121</v>
      </c>
    </row>
    <row r="23" spans="1:10" x14ac:dyDescent="0.3">
      <c r="A23" t="s">
        <v>359</v>
      </c>
      <c r="B23" s="68"/>
      <c r="E23" s="42" t="s">
        <v>32</v>
      </c>
      <c r="F23" s="42" t="s">
        <v>28</v>
      </c>
      <c r="H23" s="42" t="s">
        <v>407</v>
      </c>
      <c r="I23" s="42" t="s">
        <v>28</v>
      </c>
    </row>
    <row r="24" spans="1:10" x14ac:dyDescent="0.3">
      <c r="A24" t="s">
        <v>360</v>
      </c>
      <c r="B24" s="68"/>
      <c r="E24" s="42" t="s">
        <v>33</v>
      </c>
      <c r="F24" s="42" t="s">
        <v>28</v>
      </c>
      <c r="H24" s="42" t="s">
        <v>408</v>
      </c>
      <c r="I24" s="42" t="s">
        <v>28</v>
      </c>
    </row>
    <row r="25" spans="1:10" x14ac:dyDescent="0.3">
      <c r="A25" t="s">
        <v>361</v>
      </c>
      <c r="B25" s="68"/>
      <c r="E25" s="42" t="s">
        <v>373</v>
      </c>
      <c r="F25" s="42" t="s">
        <v>26</v>
      </c>
      <c r="H25" s="42" t="s">
        <v>30</v>
      </c>
      <c r="I25" s="42" t="s">
        <v>28</v>
      </c>
    </row>
    <row r="26" spans="1:10" x14ac:dyDescent="0.3">
      <c r="A26" t="s">
        <v>362</v>
      </c>
      <c r="B26" s="68"/>
      <c r="E26" s="42" t="s">
        <v>373</v>
      </c>
      <c r="F26" s="42" t="s">
        <v>26</v>
      </c>
      <c r="H26" s="42" t="s">
        <v>409</v>
      </c>
      <c r="I26" s="42" t="s">
        <v>26</v>
      </c>
    </row>
    <row r="27" spans="1:10" x14ac:dyDescent="0.3">
      <c r="A27" t="s">
        <v>363</v>
      </c>
      <c r="E27" s="42" t="s">
        <v>373</v>
      </c>
      <c r="F27" s="42" t="s">
        <v>26</v>
      </c>
      <c r="H27" s="42" t="s">
        <v>32</v>
      </c>
      <c r="I27" s="42" t="s">
        <v>28</v>
      </c>
    </row>
    <row r="28" spans="1:10" x14ac:dyDescent="0.3">
      <c r="A28" t="s">
        <v>364</v>
      </c>
      <c r="E28" s="42" t="s">
        <v>372</v>
      </c>
      <c r="F28" s="42" t="s">
        <v>37</v>
      </c>
      <c r="H28" s="42" t="s">
        <v>410</v>
      </c>
      <c r="I28" s="42" t="s">
        <v>26</v>
      </c>
    </row>
    <row r="29" spans="1:10" x14ac:dyDescent="0.3">
      <c r="A29" t="s">
        <v>365</v>
      </c>
      <c r="E29" s="42" t="s">
        <v>370</v>
      </c>
      <c r="F29" s="42" t="s">
        <v>28</v>
      </c>
      <c r="H29" s="42" t="s">
        <v>33</v>
      </c>
      <c r="I29" s="42" t="s">
        <v>28</v>
      </c>
    </row>
    <row r="30" spans="1:10" x14ac:dyDescent="0.3">
      <c r="A30" t="s">
        <v>366</v>
      </c>
      <c r="E30" s="42" t="s">
        <v>371</v>
      </c>
      <c r="F30" s="42" t="s">
        <v>28</v>
      </c>
      <c r="H30" s="42" t="s">
        <v>411</v>
      </c>
      <c r="I30" s="42" t="s">
        <v>26</v>
      </c>
    </row>
    <row r="31" spans="1:10" x14ac:dyDescent="0.3">
      <c r="A31" t="s">
        <v>367</v>
      </c>
      <c r="E31" s="43"/>
      <c r="F31" s="43"/>
      <c r="H31" s="43" t="s">
        <v>412</v>
      </c>
      <c r="I31" s="43" t="s">
        <v>37</v>
      </c>
    </row>
    <row r="32" spans="1:10" x14ac:dyDescent="0.3">
      <c r="A32" t="s">
        <v>368</v>
      </c>
      <c r="E32" s="43"/>
      <c r="F32" s="43"/>
      <c r="H32" s="43" t="s">
        <v>413</v>
      </c>
      <c r="I32" s="43" t="s">
        <v>26</v>
      </c>
      <c r="J32" t="s">
        <v>154</v>
      </c>
    </row>
    <row r="33" spans="4:10" x14ac:dyDescent="0.3">
      <c r="E33" s="43"/>
      <c r="F33" s="43"/>
      <c r="H33" s="43" t="s">
        <v>414</v>
      </c>
      <c r="I33" s="43" t="s">
        <v>45</v>
      </c>
      <c r="J33" t="s">
        <v>155</v>
      </c>
    </row>
    <row r="34" spans="4:10" x14ac:dyDescent="0.3">
      <c r="E34" s="43"/>
      <c r="F34" s="43"/>
      <c r="H34" s="43" t="s">
        <v>415</v>
      </c>
      <c r="I34" s="43" t="s">
        <v>45</v>
      </c>
      <c r="J34" t="s">
        <v>156</v>
      </c>
    </row>
    <row r="35" spans="4:10" x14ac:dyDescent="0.3">
      <c r="E35" s="43"/>
      <c r="F35" s="43"/>
      <c r="H35" s="43" t="s">
        <v>416</v>
      </c>
      <c r="I35" s="43" t="s">
        <v>45</v>
      </c>
      <c r="J35" t="s">
        <v>157</v>
      </c>
    </row>
    <row r="36" spans="4:10" x14ac:dyDescent="0.3">
      <c r="E36" s="43"/>
      <c r="F36" s="43"/>
      <c r="H36" s="43" t="s">
        <v>417</v>
      </c>
      <c r="I36" s="43" t="s">
        <v>43</v>
      </c>
      <c r="J36" t="s">
        <v>158</v>
      </c>
    </row>
    <row r="37" spans="4:10" x14ac:dyDescent="0.3">
      <c r="E37" s="43"/>
      <c r="F37" s="43"/>
      <c r="H37" s="43" t="s">
        <v>418</v>
      </c>
      <c r="I37" s="43" t="s">
        <v>37</v>
      </c>
      <c r="J37" t="s">
        <v>159</v>
      </c>
    </row>
    <row r="38" spans="4:10" x14ac:dyDescent="0.3">
      <c r="E38" s="43"/>
      <c r="F38" s="43"/>
      <c r="H38" s="43" t="s">
        <v>419</v>
      </c>
      <c r="I38" s="43" t="s">
        <v>28</v>
      </c>
    </row>
    <row r="39" spans="4:10" x14ac:dyDescent="0.3">
      <c r="E39" s="43"/>
      <c r="F39" s="43"/>
      <c r="H39" s="43" t="s">
        <v>420</v>
      </c>
      <c r="I39" s="43" t="s">
        <v>28</v>
      </c>
    </row>
    <row r="42" spans="4:10" x14ac:dyDescent="0.3">
      <c r="H42" t="s">
        <v>427</v>
      </c>
    </row>
    <row r="44" spans="4:10" ht="15" thickBot="1" x14ac:dyDescent="0.35"/>
    <row r="45" spans="4:10" ht="16.2" thickBot="1" x14ac:dyDescent="0.35">
      <c r="D45" s="96" t="s">
        <v>438</v>
      </c>
      <c r="E45" s="97"/>
      <c r="F45" s="97"/>
      <c r="G45" s="98"/>
    </row>
    <row r="46" spans="4:10" ht="15" thickBot="1" x14ac:dyDescent="0.35">
      <c r="D46" s="57" t="s">
        <v>439</v>
      </c>
      <c r="E46" s="58"/>
      <c r="F46" s="58"/>
      <c r="G46" s="59"/>
    </row>
    <row r="47" spans="4:10" ht="15" thickBot="1" x14ac:dyDescent="0.35">
      <c r="D47" s="60" t="s">
        <v>441</v>
      </c>
      <c r="E47" s="61"/>
      <c r="F47" s="61"/>
      <c r="G47" s="62"/>
    </row>
    <row r="48" spans="4:10" ht="15" thickBot="1" x14ac:dyDescent="0.35">
      <c r="D48" s="57" t="s">
        <v>440</v>
      </c>
      <c r="E48" s="58"/>
      <c r="F48" s="58"/>
      <c r="G48" s="59"/>
    </row>
    <row r="49" spans="4:18" ht="15" thickBot="1" x14ac:dyDescent="0.35">
      <c r="D49" s="63" t="s">
        <v>442</v>
      </c>
      <c r="E49" s="64"/>
      <c r="F49" s="64"/>
      <c r="G49" s="65"/>
      <c r="I49" s="42" t="s">
        <v>449</v>
      </c>
      <c r="J49" s="42" t="s">
        <v>450</v>
      </c>
      <c r="K49" s="42" t="s">
        <v>451</v>
      </c>
      <c r="L49" s="42" t="s">
        <v>452</v>
      </c>
      <c r="M49" s="42" t="s">
        <v>453</v>
      </c>
      <c r="N49" s="42" t="s">
        <v>454</v>
      </c>
    </row>
    <row r="50" spans="4:18" x14ac:dyDescent="0.3">
      <c r="I50" s="52">
        <v>1</v>
      </c>
      <c r="J50" s="52" t="s">
        <v>345</v>
      </c>
      <c r="K50" s="52">
        <v>35.334000000000003</v>
      </c>
      <c r="L50" s="52">
        <v>106</v>
      </c>
      <c r="M50" s="52">
        <v>1060</v>
      </c>
      <c r="N50" s="52" t="b">
        <v>1</v>
      </c>
    </row>
    <row r="51" spans="4:18" x14ac:dyDescent="0.3">
      <c r="H51">
        <f>25000+6500+500-26000</f>
        <v>6000</v>
      </c>
      <c r="I51" s="52">
        <v>2</v>
      </c>
      <c r="J51" s="52" t="s">
        <v>346</v>
      </c>
      <c r="K51" s="52">
        <v>105.5</v>
      </c>
      <c r="L51" s="52">
        <v>211</v>
      </c>
      <c r="M51" s="52">
        <v>844</v>
      </c>
      <c r="N51" s="52" t="b">
        <v>1</v>
      </c>
      <c r="Q51">
        <v>206</v>
      </c>
    </row>
    <row r="52" spans="4:18" x14ac:dyDescent="0.3">
      <c r="I52" s="52">
        <v>3</v>
      </c>
      <c r="J52" s="52" t="s">
        <v>347</v>
      </c>
      <c r="K52" s="52">
        <v>90.5</v>
      </c>
      <c r="L52" s="52">
        <v>181</v>
      </c>
      <c r="M52" s="52">
        <v>1086</v>
      </c>
      <c r="N52" s="52" t="b">
        <v>1</v>
      </c>
    </row>
    <row r="53" spans="4:18" x14ac:dyDescent="0.3">
      <c r="I53" s="52">
        <v>4</v>
      </c>
      <c r="J53" s="52" t="s">
        <v>348</v>
      </c>
      <c r="K53" s="52">
        <v>30</v>
      </c>
      <c r="L53" s="52">
        <v>60</v>
      </c>
      <c r="M53" s="52">
        <v>300</v>
      </c>
      <c r="N53" s="52" t="b">
        <v>1</v>
      </c>
      <c r="R53">
        <v>295</v>
      </c>
    </row>
    <row r="54" spans="4:18" x14ac:dyDescent="0.3">
      <c r="I54" s="52" t="s">
        <v>443</v>
      </c>
      <c r="J54" s="52" t="s">
        <v>443</v>
      </c>
      <c r="K54" s="52" t="s">
        <v>443</v>
      </c>
      <c r="L54" s="52" t="s">
        <v>443</v>
      </c>
      <c r="M54" s="52" t="s">
        <v>443</v>
      </c>
      <c r="N54" s="52" t="s">
        <v>443</v>
      </c>
    </row>
    <row r="58" spans="4:18" x14ac:dyDescent="0.3">
      <c r="I58" s="42" t="s">
        <v>449</v>
      </c>
      <c r="J58" s="42" t="s">
        <v>450</v>
      </c>
      <c r="K58" s="42" t="s">
        <v>451</v>
      </c>
      <c r="L58" s="42" t="s">
        <v>452</v>
      </c>
      <c r="M58" s="42" t="s">
        <v>453</v>
      </c>
      <c r="N58" s="42" t="s">
        <v>454</v>
      </c>
      <c r="O58" s="42" t="s">
        <v>455</v>
      </c>
    </row>
    <row r="59" spans="4:18" hidden="1" x14ac:dyDescent="0.3">
      <c r="I59" s="52">
        <v>1</v>
      </c>
      <c r="J59" s="52" t="s">
        <v>345</v>
      </c>
      <c r="K59" s="52" t="s">
        <v>444</v>
      </c>
      <c r="L59" s="52">
        <v>10.833</v>
      </c>
      <c r="M59" s="52">
        <v>32.5</v>
      </c>
      <c r="N59" s="52">
        <v>325</v>
      </c>
      <c r="O59" s="52" t="b">
        <v>1</v>
      </c>
    </row>
    <row r="60" spans="4:18" x14ac:dyDescent="0.3">
      <c r="I60" s="52">
        <v>2</v>
      </c>
      <c r="J60" s="52" t="s">
        <v>346</v>
      </c>
      <c r="K60" s="52" t="s">
        <v>444</v>
      </c>
      <c r="L60" s="52">
        <v>100</v>
      </c>
      <c r="M60" s="52">
        <v>200</v>
      </c>
      <c r="N60" s="52">
        <v>800</v>
      </c>
      <c r="O60" s="52" t="b">
        <v>1</v>
      </c>
      <c r="Q60" s="53">
        <v>195</v>
      </c>
    </row>
    <row r="61" spans="4:18" hidden="1" x14ac:dyDescent="0.3">
      <c r="I61" s="52">
        <v>3</v>
      </c>
      <c r="J61" s="52" t="s">
        <v>347</v>
      </c>
      <c r="K61" s="52" t="s">
        <v>444</v>
      </c>
      <c r="L61" s="52">
        <v>87.667000000000002</v>
      </c>
      <c r="M61" s="52">
        <v>175.333</v>
      </c>
      <c r="N61" s="52">
        <v>1052</v>
      </c>
      <c r="O61" s="52" t="b">
        <v>1</v>
      </c>
    </row>
    <row r="62" spans="4:18" x14ac:dyDescent="0.3">
      <c r="I62" s="52">
        <v>4</v>
      </c>
      <c r="J62" s="52" t="s">
        <v>348</v>
      </c>
      <c r="K62" s="52" t="s">
        <v>444</v>
      </c>
      <c r="L62" s="52">
        <v>10</v>
      </c>
      <c r="M62" s="52">
        <v>20</v>
      </c>
      <c r="N62" s="52">
        <v>100</v>
      </c>
      <c r="O62" s="52" t="b">
        <v>1</v>
      </c>
      <c r="R62">
        <v>95</v>
      </c>
    </row>
    <row r="63" spans="4:18" hidden="1" x14ac:dyDescent="0.3">
      <c r="I63" s="52">
        <v>1</v>
      </c>
      <c r="J63" s="52" t="s">
        <v>345</v>
      </c>
      <c r="K63" s="52" t="s">
        <v>445</v>
      </c>
      <c r="L63" s="52">
        <v>9.5</v>
      </c>
      <c r="M63" s="52">
        <v>28.5</v>
      </c>
      <c r="N63" s="52">
        <v>285</v>
      </c>
      <c r="O63" s="52" t="b">
        <v>1</v>
      </c>
    </row>
    <row r="64" spans="4:18" hidden="1" x14ac:dyDescent="0.3">
      <c r="I64" s="52">
        <v>2</v>
      </c>
      <c r="J64" s="52" t="s">
        <v>346</v>
      </c>
      <c r="K64" s="52" t="s">
        <v>445</v>
      </c>
      <c r="L64" s="52">
        <v>0.625</v>
      </c>
      <c r="M64" s="52">
        <v>1.25</v>
      </c>
      <c r="N64" s="52">
        <v>5</v>
      </c>
      <c r="O64" s="52" t="b">
        <v>1</v>
      </c>
    </row>
    <row r="65" spans="9:15" hidden="1" x14ac:dyDescent="0.3">
      <c r="I65" s="52">
        <v>3</v>
      </c>
      <c r="J65" s="52" t="s">
        <v>347</v>
      </c>
      <c r="K65" s="52" t="s">
        <v>445</v>
      </c>
      <c r="L65" s="52">
        <v>2</v>
      </c>
      <c r="M65" s="52">
        <v>4</v>
      </c>
      <c r="N65" s="52">
        <v>24</v>
      </c>
      <c r="O65" s="52" t="b">
        <v>1</v>
      </c>
    </row>
    <row r="66" spans="9:15" hidden="1" x14ac:dyDescent="0.3">
      <c r="I66" s="52">
        <v>2</v>
      </c>
      <c r="J66" s="52" t="s">
        <v>346</v>
      </c>
      <c r="K66" s="52" t="s">
        <v>446</v>
      </c>
      <c r="L66" s="52">
        <v>0.5</v>
      </c>
      <c r="M66" s="52">
        <v>1</v>
      </c>
      <c r="N66" s="52">
        <v>4</v>
      </c>
      <c r="O66" s="52" t="b">
        <v>1</v>
      </c>
    </row>
    <row r="67" spans="9:15" hidden="1" x14ac:dyDescent="0.3">
      <c r="I67" s="52">
        <v>3</v>
      </c>
      <c r="J67" s="52" t="s">
        <v>347</v>
      </c>
      <c r="K67" s="52" t="s">
        <v>446</v>
      </c>
      <c r="L67" s="52">
        <v>0.5</v>
      </c>
      <c r="M67" s="52">
        <v>1</v>
      </c>
      <c r="N67" s="52">
        <v>6</v>
      </c>
      <c r="O67" s="52" t="b">
        <v>1</v>
      </c>
    </row>
    <row r="68" spans="9:15" hidden="1" x14ac:dyDescent="0.3">
      <c r="I68" s="52">
        <v>4</v>
      </c>
      <c r="J68" s="52" t="s">
        <v>348</v>
      </c>
      <c r="K68" s="52" t="s">
        <v>446</v>
      </c>
      <c r="L68" s="52">
        <v>20</v>
      </c>
      <c r="M68" s="52">
        <v>40</v>
      </c>
      <c r="N68" s="52">
        <v>200</v>
      </c>
      <c r="O68" s="52" t="b">
        <v>1</v>
      </c>
    </row>
    <row r="69" spans="9:15" hidden="1" x14ac:dyDescent="0.3">
      <c r="I69" s="52">
        <v>1</v>
      </c>
      <c r="J69" s="52" t="s">
        <v>345</v>
      </c>
      <c r="K69" s="52" t="s">
        <v>447</v>
      </c>
      <c r="L69" s="52">
        <v>13.334</v>
      </c>
      <c r="M69" s="52">
        <v>40</v>
      </c>
      <c r="N69" s="52">
        <v>400</v>
      </c>
      <c r="O69" s="52" t="b">
        <v>1</v>
      </c>
    </row>
    <row r="70" spans="9:15" hidden="1" x14ac:dyDescent="0.3">
      <c r="I70" s="52">
        <v>2</v>
      </c>
      <c r="J70" s="52" t="s">
        <v>346</v>
      </c>
      <c r="K70" s="52" t="s">
        <v>447</v>
      </c>
      <c r="L70" s="52">
        <v>4.375</v>
      </c>
      <c r="M70" s="52">
        <v>8.75</v>
      </c>
      <c r="N70" s="52">
        <v>35</v>
      </c>
      <c r="O70" s="52" t="b">
        <v>1</v>
      </c>
    </row>
    <row r="71" spans="9:15" hidden="1" x14ac:dyDescent="0.3">
      <c r="I71" s="52">
        <v>3</v>
      </c>
      <c r="J71" s="52" t="s">
        <v>347</v>
      </c>
      <c r="K71" s="52" t="s">
        <v>447</v>
      </c>
      <c r="L71" s="52">
        <v>0.33300000000000002</v>
      </c>
      <c r="M71" s="52">
        <v>0.66700000000000004</v>
      </c>
      <c r="N71" s="52">
        <v>4</v>
      </c>
      <c r="O71" s="52" t="b">
        <v>1</v>
      </c>
    </row>
    <row r="72" spans="9:15" hidden="1" x14ac:dyDescent="0.3">
      <c r="I72" s="52">
        <v>1</v>
      </c>
      <c r="J72" s="52" t="s">
        <v>345</v>
      </c>
      <c r="K72" s="52" t="s">
        <v>448</v>
      </c>
      <c r="L72" s="52">
        <v>1.667</v>
      </c>
      <c r="M72" s="52">
        <v>5</v>
      </c>
      <c r="N72" s="52">
        <v>50</v>
      </c>
      <c r="O72" s="52" t="b">
        <v>1</v>
      </c>
    </row>
    <row r="73" spans="9:15" hidden="1" x14ac:dyDescent="0.3">
      <c r="I73" s="52" t="s">
        <v>443</v>
      </c>
      <c r="J73" s="52" t="s">
        <v>443</v>
      </c>
      <c r="K73" s="52" t="s">
        <v>443</v>
      </c>
      <c r="L73" s="52" t="s">
        <v>443</v>
      </c>
      <c r="M73" s="52" t="s">
        <v>443</v>
      </c>
      <c r="N73" s="52" t="s">
        <v>443</v>
      </c>
      <c r="O73" s="52" t="s">
        <v>443</v>
      </c>
    </row>
    <row r="77" spans="9:15" x14ac:dyDescent="0.3">
      <c r="L77">
        <f>19*25</f>
        <v>475</v>
      </c>
    </row>
    <row r="78" spans="9:15" x14ac:dyDescent="0.3">
      <c r="N78">
        <f>18.62*25</f>
        <v>465.5</v>
      </c>
    </row>
    <row r="79" spans="9:15" x14ac:dyDescent="0.3">
      <c r="N79">
        <f>1.97*10</f>
        <v>19.7</v>
      </c>
    </row>
  </sheetData>
  <autoFilter ref="I58:O73">
    <filterColumn colId="1">
      <filters>
        <filter val="NULL"/>
        <filter val="كربون 1000"/>
        <filter val="كريم لتدليك القدم"/>
      </filters>
    </filterColumn>
    <filterColumn colId="2">
      <filters>
        <filter val="2021-02"/>
      </filters>
    </filterColumn>
  </autoFilter>
  <mergeCells count="8">
    <mergeCell ref="H1:I1"/>
    <mergeCell ref="D45:G45"/>
    <mergeCell ref="D46:G46"/>
    <mergeCell ref="D47:G47"/>
    <mergeCell ref="D49:G49"/>
    <mergeCell ref="D48:G48"/>
    <mergeCell ref="B1:B26"/>
    <mergeCell ref="E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25"/>
  <sheetViews>
    <sheetView tabSelected="1" topLeftCell="CH1" workbookViewId="0">
      <selection activeCell="CR18" sqref="CR18:CR21"/>
    </sheetView>
  </sheetViews>
  <sheetFormatPr defaultRowHeight="14.4" x14ac:dyDescent="0.3"/>
  <cols>
    <col min="1" max="1" width="8.21875" bestFit="1" customWidth="1"/>
    <col min="2" max="2" width="14.5546875" bestFit="1" customWidth="1"/>
    <col min="3" max="3" width="20.6640625" bestFit="1" customWidth="1"/>
    <col min="4" max="4" width="20.33203125" bestFit="1" customWidth="1"/>
    <col min="5" max="5" width="16" bestFit="1" customWidth="1"/>
    <col min="6" max="6" width="17.33203125" bestFit="1" customWidth="1"/>
    <col min="7" max="7" width="14.21875" bestFit="1" customWidth="1"/>
    <col min="8" max="8" width="16.88671875" bestFit="1" customWidth="1"/>
    <col min="9" max="9" width="17.6640625" bestFit="1" customWidth="1"/>
    <col min="10" max="10" width="46.5546875" bestFit="1" customWidth="1"/>
    <col min="11" max="11" width="19.44140625" bestFit="1" customWidth="1"/>
    <col min="12" max="12" width="18.44140625" bestFit="1" customWidth="1"/>
    <col min="13" max="13" width="16.44140625" bestFit="1" customWidth="1"/>
    <col min="14" max="14" width="18.5546875" bestFit="1" customWidth="1"/>
    <col min="15" max="15" width="23.5546875" bestFit="1" customWidth="1"/>
    <col min="16" max="16" width="17.88671875" bestFit="1" customWidth="1"/>
    <col min="17" max="17" width="13.77734375" bestFit="1" customWidth="1"/>
    <col min="18" max="18" width="14.6640625" bestFit="1" customWidth="1"/>
    <col min="19" max="19" width="10.33203125" bestFit="1" customWidth="1"/>
    <col min="20" max="20" width="9" bestFit="1" customWidth="1"/>
    <col min="21" max="21" width="14" bestFit="1" customWidth="1"/>
    <col min="22" max="22" width="14.6640625" bestFit="1" customWidth="1"/>
    <col min="23" max="23" width="10.88671875" bestFit="1" customWidth="1"/>
    <col min="24" max="24" width="8.33203125" bestFit="1" customWidth="1"/>
    <col min="25" max="25" width="11.44140625" bestFit="1" customWidth="1"/>
    <col min="26" max="26" width="12.88671875" bestFit="1" customWidth="1"/>
    <col min="27" max="27" width="12.77734375" bestFit="1" customWidth="1"/>
    <col min="28" max="28" width="13.88671875" bestFit="1" customWidth="1"/>
    <col min="29" max="29" width="14.6640625" bestFit="1" customWidth="1"/>
    <col min="30" max="30" width="10" bestFit="1" customWidth="1"/>
    <col min="31" max="31" width="11.77734375" bestFit="1" customWidth="1"/>
    <col min="32" max="32" width="14.44140625" bestFit="1" customWidth="1"/>
    <col min="33" max="33" width="15.5546875" bestFit="1" customWidth="1"/>
    <col min="34" max="34" width="13.88671875" bestFit="1" customWidth="1"/>
    <col min="35" max="36" width="16.5546875" bestFit="1" customWidth="1"/>
    <col min="37" max="37" width="14" bestFit="1" customWidth="1"/>
    <col min="38" max="39" width="16.6640625" bestFit="1" customWidth="1"/>
    <col min="40" max="40" width="12.44140625" bestFit="1" customWidth="1"/>
    <col min="41" max="41" width="12.77734375" bestFit="1" customWidth="1"/>
    <col min="42" max="42" width="12.109375" bestFit="1" customWidth="1"/>
    <col min="43" max="43" width="16.21875" bestFit="1" customWidth="1"/>
    <col min="44" max="44" width="11.44140625" bestFit="1" customWidth="1"/>
    <col min="45" max="45" width="9.109375" bestFit="1" customWidth="1"/>
    <col min="46" max="46" width="15.44140625" bestFit="1" customWidth="1"/>
    <col min="47" max="47" width="17" bestFit="1" customWidth="1"/>
    <col min="48" max="48" width="13.33203125" bestFit="1" customWidth="1"/>
    <col min="49" max="49" width="19.88671875" bestFit="1" customWidth="1"/>
    <col min="50" max="50" width="11.77734375" bestFit="1" customWidth="1"/>
    <col min="51" max="51" width="11.44140625" bestFit="1" customWidth="1"/>
    <col min="52" max="52" width="12" bestFit="1" customWidth="1"/>
    <col min="53" max="53" width="13.21875" bestFit="1" customWidth="1"/>
    <col min="54" max="54" width="15.88671875" bestFit="1" customWidth="1"/>
    <col min="55" max="55" width="15.77734375" bestFit="1" customWidth="1"/>
    <col min="56" max="56" width="9.44140625" bestFit="1" customWidth="1"/>
    <col min="57" max="57" width="20.77734375" bestFit="1" customWidth="1"/>
    <col min="58" max="58" width="9.21875" bestFit="1" customWidth="1"/>
    <col min="59" max="59" width="8.6640625" bestFit="1" customWidth="1"/>
    <col min="60" max="60" width="14.6640625" bestFit="1" customWidth="1"/>
    <col min="61" max="61" width="12.21875" bestFit="1" customWidth="1"/>
    <col min="62" max="62" width="9.5546875" bestFit="1" customWidth="1"/>
    <col min="63" max="63" width="9.44140625" bestFit="1" customWidth="1"/>
    <col min="64" max="64" width="12.88671875" bestFit="1" customWidth="1"/>
    <col min="65" max="65" width="11.44140625" bestFit="1" customWidth="1"/>
    <col min="66" max="66" width="8.44140625" bestFit="1" customWidth="1"/>
    <col min="67" max="67" width="11" bestFit="1" customWidth="1"/>
    <col min="68" max="68" width="8.5546875" bestFit="1" customWidth="1"/>
    <col min="69" max="69" width="8.33203125" bestFit="1" customWidth="1"/>
    <col min="70" max="70" width="12" bestFit="1" customWidth="1"/>
    <col min="71" max="71" width="8.77734375" bestFit="1" customWidth="1"/>
    <col min="72" max="72" width="12.5546875" bestFit="1" customWidth="1"/>
    <col min="73" max="73" width="10.109375" bestFit="1" customWidth="1"/>
    <col min="74" max="74" width="8.33203125" bestFit="1" customWidth="1"/>
    <col min="75" max="75" width="15.33203125" bestFit="1" customWidth="1"/>
    <col min="76" max="77" width="15.44140625" bestFit="1" customWidth="1"/>
    <col min="78" max="78" width="11.88671875" bestFit="1" customWidth="1"/>
    <col min="79" max="79" width="16.6640625" bestFit="1" customWidth="1"/>
    <col min="80" max="80" width="12.6640625" bestFit="1" customWidth="1"/>
    <col min="81" max="81" width="15.5546875" bestFit="1" customWidth="1"/>
    <col min="82" max="82" width="21.109375" bestFit="1" customWidth="1"/>
    <col min="83" max="83" width="25.77734375" bestFit="1" customWidth="1"/>
    <col min="84" max="84" width="17.77734375" bestFit="1" customWidth="1"/>
    <col min="85" max="85" width="16.77734375" bestFit="1" customWidth="1"/>
    <col min="86" max="86" width="18.5546875" bestFit="1" customWidth="1"/>
    <col min="87" max="87" width="14.6640625" bestFit="1" customWidth="1"/>
    <col min="88" max="88" width="17.5546875" bestFit="1" customWidth="1"/>
    <col min="89" max="89" width="14.77734375" bestFit="1" customWidth="1"/>
    <col min="90" max="90" width="16" bestFit="1" customWidth="1"/>
    <col min="91" max="91" width="13.33203125" bestFit="1" customWidth="1"/>
    <col min="92" max="92" width="12.33203125" bestFit="1" customWidth="1"/>
    <col min="93" max="93" width="18.77734375" bestFit="1" customWidth="1"/>
    <col min="94" max="94" width="11.77734375" bestFit="1" customWidth="1"/>
    <col min="95" max="95" width="18.109375" bestFit="1" customWidth="1"/>
    <col min="96" max="96" width="18.88671875" bestFit="1" customWidth="1"/>
    <col min="97" max="97" width="12.6640625" bestFit="1" customWidth="1"/>
    <col min="98" max="98" width="14.6640625" bestFit="1" customWidth="1"/>
    <col min="99" max="99" width="9.109375" bestFit="1" customWidth="1"/>
    <col min="100" max="100" width="14.109375" bestFit="1" customWidth="1"/>
    <col min="101" max="101" width="14.6640625" bestFit="1" customWidth="1"/>
    <col min="102" max="102" width="19.77734375" bestFit="1" customWidth="1"/>
    <col min="103" max="103" width="15.6640625" bestFit="1" customWidth="1"/>
    <col min="104" max="104" width="22.33203125" bestFit="1" customWidth="1"/>
    <col min="105" max="105" width="23.109375" bestFit="1" customWidth="1"/>
    <col min="106" max="106" width="16.109375" bestFit="1" customWidth="1"/>
    <col min="107" max="107" width="18.44140625" bestFit="1" customWidth="1"/>
    <col min="108" max="108" width="16.21875" bestFit="1" customWidth="1"/>
    <col min="109" max="109" width="15.109375" bestFit="1" customWidth="1"/>
    <col min="110" max="110" width="16.88671875" bestFit="1" customWidth="1"/>
    <col min="111" max="111" width="13.6640625" bestFit="1" customWidth="1"/>
    <col min="112" max="112" width="16.6640625" bestFit="1" customWidth="1"/>
    <col min="113" max="113" width="14.6640625" bestFit="1" customWidth="1"/>
  </cols>
  <sheetData>
    <row r="1" spans="1:113" x14ac:dyDescent="0.3">
      <c r="A1" t="s">
        <v>464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472</v>
      </c>
      <c r="J1" t="s">
        <v>30</v>
      </c>
      <c r="K1" t="s">
        <v>32</v>
      </c>
      <c r="L1" t="s">
        <v>33</v>
      </c>
      <c r="M1" t="s">
        <v>473</v>
      </c>
      <c r="N1" t="s">
        <v>474</v>
      </c>
      <c r="O1" t="s">
        <v>475</v>
      </c>
      <c r="P1" t="s">
        <v>476</v>
      </c>
      <c r="Q1" s="99" t="s">
        <v>477</v>
      </c>
      <c r="R1" s="100" t="s">
        <v>478</v>
      </c>
    </row>
    <row r="2" spans="1:113" x14ac:dyDescent="0.3">
      <c r="A2">
        <v>4</v>
      </c>
      <c r="B2" t="s">
        <v>457</v>
      </c>
      <c r="C2">
        <v>777.9</v>
      </c>
      <c r="D2">
        <v>732.54</v>
      </c>
      <c r="E2">
        <v>3</v>
      </c>
      <c r="F2">
        <v>777.9</v>
      </c>
      <c r="G2">
        <v>7.9</v>
      </c>
      <c r="H2">
        <v>770</v>
      </c>
      <c r="I2" t="s">
        <v>458</v>
      </c>
      <c r="J2" t="s">
        <v>456</v>
      </c>
      <c r="K2" t="s">
        <v>443</v>
      </c>
      <c r="L2" t="s">
        <v>443</v>
      </c>
      <c r="M2">
        <v>0</v>
      </c>
      <c r="N2" t="s">
        <v>443</v>
      </c>
      <c r="O2" t="s">
        <v>443</v>
      </c>
      <c r="P2">
        <v>1</v>
      </c>
      <c r="Q2" s="99">
        <v>44401</v>
      </c>
      <c r="R2" s="100">
        <v>44401.768935185188</v>
      </c>
    </row>
    <row r="8" spans="1:113" x14ac:dyDescent="0.3">
      <c r="A8" t="s">
        <v>479</v>
      </c>
      <c r="B8" t="s">
        <v>480</v>
      </c>
      <c r="C8" t="s">
        <v>481</v>
      </c>
      <c r="D8" t="s">
        <v>126</v>
      </c>
      <c r="E8" t="s">
        <v>482</v>
      </c>
      <c r="F8" t="s">
        <v>483</v>
      </c>
      <c r="G8" t="s">
        <v>484</v>
      </c>
      <c r="H8" t="s">
        <v>485</v>
      </c>
      <c r="I8" t="s">
        <v>486</v>
      </c>
      <c r="J8" t="s">
        <v>487</v>
      </c>
      <c r="K8" t="s">
        <v>488</v>
      </c>
      <c r="L8" t="s">
        <v>131</v>
      </c>
      <c r="M8" t="s">
        <v>489</v>
      </c>
      <c r="N8" t="s">
        <v>490</v>
      </c>
      <c r="O8" t="s">
        <v>491</v>
      </c>
      <c r="P8" t="s">
        <v>492</v>
      </c>
      <c r="Q8" t="s">
        <v>493</v>
      </c>
      <c r="R8" t="s">
        <v>494</v>
      </c>
      <c r="S8" t="s">
        <v>495</v>
      </c>
      <c r="T8" t="s">
        <v>496</v>
      </c>
      <c r="U8" t="s">
        <v>497</v>
      </c>
      <c r="V8" t="s">
        <v>498</v>
      </c>
      <c r="W8" t="s">
        <v>392</v>
      </c>
      <c r="X8" t="s">
        <v>105</v>
      </c>
      <c r="Y8" t="s">
        <v>499</v>
      </c>
      <c r="Z8" t="s">
        <v>500</v>
      </c>
      <c r="AA8" t="s">
        <v>501</v>
      </c>
      <c r="AB8" t="s">
        <v>502</v>
      </c>
      <c r="AC8" t="s">
        <v>503</v>
      </c>
      <c r="AD8" t="s">
        <v>504</v>
      </c>
      <c r="AE8" t="s">
        <v>505</v>
      </c>
      <c r="AF8" t="s">
        <v>506</v>
      </c>
      <c r="AG8" t="s">
        <v>507</v>
      </c>
      <c r="AH8" t="s">
        <v>508</v>
      </c>
      <c r="AI8" t="s">
        <v>509</v>
      </c>
      <c r="AJ8" t="s">
        <v>510</v>
      </c>
      <c r="AK8" t="s">
        <v>511</v>
      </c>
      <c r="AL8" t="s">
        <v>512</v>
      </c>
      <c r="AM8" t="s">
        <v>513</v>
      </c>
      <c r="AN8" t="s">
        <v>514</v>
      </c>
      <c r="AO8" t="s">
        <v>515</v>
      </c>
      <c r="AP8" t="s">
        <v>516</v>
      </c>
      <c r="AQ8" t="s">
        <v>517</v>
      </c>
      <c r="AR8" t="s">
        <v>518</v>
      </c>
      <c r="AS8" t="s">
        <v>519</v>
      </c>
      <c r="AT8" t="s">
        <v>520</v>
      </c>
      <c r="AU8" t="s">
        <v>107</v>
      </c>
      <c r="AV8" t="s">
        <v>521</v>
      </c>
      <c r="AW8" s="101" t="s">
        <v>120</v>
      </c>
      <c r="AX8" t="s">
        <v>522</v>
      </c>
      <c r="AY8" s="101" t="s">
        <v>119</v>
      </c>
      <c r="AZ8" t="s">
        <v>523</v>
      </c>
      <c r="BA8" t="s">
        <v>524</v>
      </c>
      <c r="BB8" t="s">
        <v>525</v>
      </c>
      <c r="BC8" t="s">
        <v>526</v>
      </c>
      <c r="BD8" t="s">
        <v>527</v>
      </c>
      <c r="BE8" t="s">
        <v>528</v>
      </c>
      <c r="BF8" t="s">
        <v>529</v>
      </c>
      <c r="BG8" t="s">
        <v>530</v>
      </c>
      <c r="BH8" t="s">
        <v>531</v>
      </c>
      <c r="BI8" t="s">
        <v>532</v>
      </c>
      <c r="BJ8" t="s">
        <v>533</v>
      </c>
      <c r="BK8" t="s">
        <v>534</v>
      </c>
      <c r="BL8" t="s">
        <v>535</v>
      </c>
      <c r="BM8" t="s">
        <v>536</v>
      </c>
      <c r="BN8" t="s">
        <v>537</v>
      </c>
      <c r="BO8" t="s">
        <v>538</v>
      </c>
      <c r="BP8" t="s">
        <v>539</v>
      </c>
      <c r="BQ8" t="s">
        <v>540</v>
      </c>
      <c r="BR8" t="s">
        <v>541</v>
      </c>
      <c r="BS8" t="s">
        <v>542</v>
      </c>
      <c r="BT8" t="s">
        <v>543</v>
      </c>
      <c r="BU8" t="s">
        <v>544</v>
      </c>
      <c r="BV8" t="s">
        <v>545</v>
      </c>
      <c r="BW8" t="s">
        <v>546</v>
      </c>
      <c r="BX8" s="101" t="s">
        <v>547</v>
      </c>
      <c r="BY8" s="101" t="s">
        <v>548</v>
      </c>
      <c r="BZ8" t="s">
        <v>549</v>
      </c>
      <c r="CA8" t="s">
        <v>550</v>
      </c>
      <c r="CB8" t="s">
        <v>551</v>
      </c>
      <c r="CC8" t="s">
        <v>552</v>
      </c>
      <c r="CD8" s="101" t="s">
        <v>553</v>
      </c>
      <c r="CE8" s="101" t="s">
        <v>554</v>
      </c>
      <c r="CF8" t="s">
        <v>555</v>
      </c>
      <c r="CG8" s="101" t="s">
        <v>556</v>
      </c>
      <c r="CH8" t="s">
        <v>557</v>
      </c>
      <c r="CI8" s="101" t="s">
        <v>558</v>
      </c>
      <c r="CJ8" s="101" t="s">
        <v>559</v>
      </c>
      <c r="CK8" s="101" t="s">
        <v>560</v>
      </c>
      <c r="CL8" t="s">
        <v>561</v>
      </c>
      <c r="CM8" t="s">
        <v>153</v>
      </c>
      <c r="CN8" t="s">
        <v>562</v>
      </c>
      <c r="CO8" s="101" t="s">
        <v>563</v>
      </c>
      <c r="CP8" s="101" t="s">
        <v>564</v>
      </c>
      <c r="CQ8" s="101" t="s">
        <v>565</v>
      </c>
      <c r="CR8" s="101" t="s">
        <v>566</v>
      </c>
      <c r="CS8" s="101" t="s">
        <v>312</v>
      </c>
      <c r="CT8" t="s">
        <v>567</v>
      </c>
      <c r="CU8" t="s">
        <v>568</v>
      </c>
      <c r="CV8" t="s">
        <v>569</v>
      </c>
      <c r="CW8" t="s">
        <v>570</v>
      </c>
      <c r="CX8" t="s">
        <v>571</v>
      </c>
      <c r="CY8" t="s">
        <v>572</v>
      </c>
      <c r="CZ8" t="s">
        <v>573</v>
      </c>
      <c r="DA8" t="s">
        <v>574</v>
      </c>
      <c r="DB8" t="s">
        <v>575</v>
      </c>
      <c r="DC8" t="s">
        <v>576</v>
      </c>
      <c r="DD8" t="s">
        <v>577</v>
      </c>
      <c r="DE8" t="s">
        <v>578</v>
      </c>
      <c r="DF8" t="s">
        <v>579</v>
      </c>
      <c r="DG8" t="s">
        <v>580</v>
      </c>
      <c r="DH8" t="s">
        <v>581</v>
      </c>
      <c r="DI8" t="s">
        <v>582</v>
      </c>
    </row>
    <row r="9" spans="1:113" x14ac:dyDescent="0.3">
      <c r="A9">
        <v>28</v>
      </c>
      <c r="B9" t="s">
        <v>583</v>
      </c>
      <c r="C9">
        <v>18</v>
      </c>
      <c r="D9" s="101" t="s">
        <v>584</v>
      </c>
      <c r="E9" s="101">
        <v>1</v>
      </c>
      <c r="F9">
        <v>1</v>
      </c>
      <c r="H9" s="99">
        <v>44403</v>
      </c>
      <c r="I9">
        <v>1495</v>
      </c>
      <c r="J9">
        <v>1469.82</v>
      </c>
      <c r="K9">
        <v>1379.82</v>
      </c>
      <c r="L9">
        <v>3</v>
      </c>
      <c r="M9">
        <v>120.18</v>
      </c>
      <c r="N9">
        <v>14.5</v>
      </c>
      <c r="O9">
        <v>84.32</v>
      </c>
      <c r="P9">
        <v>100</v>
      </c>
      <c r="Q9">
        <v>1500</v>
      </c>
      <c r="R9">
        <v>0</v>
      </c>
      <c r="S9">
        <v>1500</v>
      </c>
      <c r="T9">
        <v>1</v>
      </c>
      <c r="U9" s="99">
        <v>44401</v>
      </c>
      <c r="V9" s="100">
        <v>44401.767569444448</v>
      </c>
      <c r="W9">
        <v>50</v>
      </c>
      <c r="X9">
        <v>3</v>
      </c>
      <c r="Y9" t="s">
        <v>585</v>
      </c>
      <c r="Z9" s="101" t="s">
        <v>347</v>
      </c>
      <c r="AA9" t="s">
        <v>586</v>
      </c>
      <c r="AB9">
        <v>455555555555555</v>
      </c>
      <c r="AE9">
        <v>1</v>
      </c>
      <c r="AF9" t="s">
        <v>459</v>
      </c>
      <c r="AG9">
        <v>52.5</v>
      </c>
      <c r="AH9">
        <v>2</v>
      </c>
      <c r="AI9" s="99" t="s">
        <v>461</v>
      </c>
      <c r="AJ9" s="100">
        <v>105</v>
      </c>
      <c r="AK9">
        <v>3</v>
      </c>
      <c r="AL9" t="s">
        <v>462</v>
      </c>
      <c r="AM9">
        <v>630</v>
      </c>
      <c r="AN9">
        <v>1</v>
      </c>
      <c r="AO9" t="s">
        <v>587</v>
      </c>
      <c r="AP9">
        <v>1</v>
      </c>
      <c r="AQ9" t="s">
        <v>588</v>
      </c>
      <c r="AR9">
        <v>1</v>
      </c>
      <c r="AS9" t="s">
        <v>589</v>
      </c>
      <c r="AT9">
        <v>1</v>
      </c>
      <c r="AU9" s="101" t="s">
        <v>590</v>
      </c>
      <c r="AV9">
        <v>1</v>
      </c>
      <c r="AW9" s="101" t="s">
        <v>591</v>
      </c>
      <c r="AX9">
        <v>1</v>
      </c>
      <c r="AY9" s="101" t="s">
        <v>592</v>
      </c>
      <c r="AZ9" t="s">
        <v>593</v>
      </c>
      <c r="BA9" t="s">
        <v>458</v>
      </c>
      <c r="BB9">
        <v>1023654988</v>
      </c>
      <c r="BE9" t="s">
        <v>594</v>
      </c>
      <c r="BG9" t="s">
        <v>595</v>
      </c>
      <c r="BH9" t="s">
        <v>596</v>
      </c>
      <c r="BI9">
        <v>0</v>
      </c>
      <c r="BJ9">
        <v>0.12</v>
      </c>
      <c r="BK9">
        <v>70</v>
      </c>
      <c r="BL9">
        <v>0</v>
      </c>
      <c r="BM9" t="s">
        <v>597</v>
      </c>
      <c r="BN9" t="s">
        <v>598</v>
      </c>
      <c r="BR9" t="s">
        <v>599</v>
      </c>
      <c r="BS9" t="s">
        <v>600</v>
      </c>
      <c r="BT9">
        <v>12222200000</v>
      </c>
      <c r="BU9" t="s">
        <v>601</v>
      </c>
      <c r="BV9" t="s">
        <v>602</v>
      </c>
      <c r="BW9">
        <v>4</v>
      </c>
      <c r="BX9" s="101" t="s">
        <v>459</v>
      </c>
      <c r="BY9" s="101">
        <v>51.5</v>
      </c>
      <c r="BZ9">
        <v>656</v>
      </c>
      <c r="CA9">
        <v>644.52</v>
      </c>
      <c r="CB9">
        <v>600.24</v>
      </c>
      <c r="CC9">
        <v>2</v>
      </c>
      <c r="CD9" s="101" t="s">
        <v>444</v>
      </c>
      <c r="CE9" s="101">
        <v>50.667000000000002</v>
      </c>
      <c r="CF9">
        <v>1312</v>
      </c>
      <c r="CG9" s="101">
        <v>1289.04</v>
      </c>
      <c r="CH9">
        <v>1200.48</v>
      </c>
      <c r="CI9" s="101">
        <v>1.75</v>
      </c>
      <c r="CJ9" s="101">
        <v>1.5</v>
      </c>
      <c r="CK9" s="101">
        <v>3</v>
      </c>
      <c r="CL9">
        <v>45.78</v>
      </c>
      <c r="CM9">
        <v>91.56</v>
      </c>
      <c r="CO9" s="101">
        <v>1</v>
      </c>
      <c r="CP9" s="101">
        <v>644.52</v>
      </c>
      <c r="CQ9" s="101">
        <v>644.52</v>
      </c>
      <c r="CR9" s="101">
        <v>600.24</v>
      </c>
      <c r="CS9" s="101" t="s">
        <v>460</v>
      </c>
      <c r="CT9">
        <v>1</v>
      </c>
      <c r="CU9">
        <v>1</v>
      </c>
      <c r="CV9" s="99">
        <v>44401</v>
      </c>
      <c r="CW9" s="100">
        <v>44401.767569444448</v>
      </c>
      <c r="CX9">
        <v>4</v>
      </c>
      <c r="CY9" t="s">
        <v>457</v>
      </c>
      <c r="CZ9">
        <v>777.9</v>
      </c>
      <c r="DA9">
        <v>732.54</v>
      </c>
      <c r="DB9">
        <v>3</v>
      </c>
      <c r="DC9">
        <v>777.9</v>
      </c>
      <c r="DD9">
        <v>7.9</v>
      </c>
      <c r="DE9">
        <v>770</v>
      </c>
      <c r="DF9" t="s">
        <v>458</v>
      </c>
      <c r="DG9">
        <v>1</v>
      </c>
      <c r="DH9" s="99">
        <v>44401</v>
      </c>
      <c r="DI9" s="100">
        <v>44401.768935185188</v>
      </c>
    </row>
    <row r="10" spans="1:113" x14ac:dyDescent="0.3">
      <c r="A10">
        <v>28</v>
      </c>
      <c r="B10" t="s">
        <v>583</v>
      </c>
      <c r="C10">
        <v>18</v>
      </c>
      <c r="D10" s="101" t="s">
        <v>584</v>
      </c>
      <c r="E10" s="101">
        <v>1</v>
      </c>
      <c r="F10">
        <v>1</v>
      </c>
      <c r="H10" s="99">
        <v>44403</v>
      </c>
      <c r="I10">
        <v>1495</v>
      </c>
      <c r="J10">
        <v>1469.82</v>
      </c>
      <c r="K10">
        <v>1379.82</v>
      </c>
      <c r="L10">
        <v>3</v>
      </c>
      <c r="M10">
        <v>120.18</v>
      </c>
      <c r="N10">
        <v>14.5</v>
      </c>
      <c r="O10">
        <v>84.32</v>
      </c>
      <c r="P10">
        <v>100</v>
      </c>
      <c r="Q10">
        <v>1500</v>
      </c>
      <c r="R10">
        <v>0</v>
      </c>
      <c r="S10">
        <v>1500</v>
      </c>
      <c r="T10">
        <v>1</v>
      </c>
      <c r="U10" s="99">
        <v>44401</v>
      </c>
      <c r="V10" s="100">
        <v>44401.767569444448</v>
      </c>
      <c r="W10">
        <v>51</v>
      </c>
      <c r="X10">
        <v>2</v>
      </c>
      <c r="Y10" t="s">
        <v>603</v>
      </c>
      <c r="Z10" s="101" t="s">
        <v>346</v>
      </c>
      <c r="AA10" t="s">
        <v>604</v>
      </c>
      <c r="AB10">
        <v>5.6464666666666603E+24</v>
      </c>
      <c r="AE10">
        <v>1</v>
      </c>
      <c r="AF10" t="s">
        <v>459</v>
      </c>
      <c r="AG10">
        <v>144.5</v>
      </c>
      <c r="AH10">
        <v>2</v>
      </c>
      <c r="AI10" s="99" t="s">
        <v>461</v>
      </c>
      <c r="AJ10" s="100">
        <v>289</v>
      </c>
      <c r="AK10">
        <v>3</v>
      </c>
      <c r="AL10" t="s">
        <v>462</v>
      </c>
      <c r="AM10">
        <v>1156</v>
      </c>
      <c r="AN10">
        <v>6</v>
      </c>
      <c r="AO10" t="s">
        <v>605</v>
      </c>
      <c r="AP10">
        <v>2</v>
      </c>
      <c r="AQ10" t="s">
        <v>606</v>
      </c>
      <c r="AR10">
        <v>2</v>
      </c>
      <c r="AS10" t="s">
        <v>607</v>
      </c>
      <c r="AT10">
        <v>1</v>
      </c>
      <c r="AU10" s="101" t="s">
        <v>590</v>
      </c>
      <c r="AV10">
        <v>2</v>
      </c>
      <c r="AW10" s="101" t="s">
        <v>608</v>
      </c>
      <c r="AX10">
        <v>2</v>
      </c>
      <c r="AY10" s="101" t="s">
        <v>609</v>
      </c>
      <c r="AZ10" t="s">
        <v>593</v>
      </c>
      <c r="BA10" t="s">
        <v>458</v>
      </c>
      <c r="BB10">
        <v>1023654988</v>
      </c>
      <c r="BE10" t="s">
        <v>594</v>
      </c>
      <c r="BG10" t="s">
        <v>595</v>
      </c>
      <c r="BH10" t="s">
        <v>596</v>
      </c>
      <c r="BI10">
        <v>0</v>
      </c>
      <c r="BJ10">
        <v>0.12</v>
      </c>
      <c r="BK10">
        <v>70</v>
      </c>
      <c r="BL10">
        <v>0</v>
      </c>
      <c r="BM10" t="s">
        <v>597</v>
      </c>
      <c r="BN10" t="s">
        <v>598</v>
      </c>
      <c r="BR10" t="s">
        <v>599</v>
      </c>
      <c r="BS10" t="s">
        <v>600</v>
      </c>
      <c r="BT10">
        <v>12222200000</v>
      </c>
      <c r="BU10" t="s">
        <v>601</v>
      </c>
      <c r="BV10" t="s">
        <v>602</v>
      </c>
      <c r="BW10">
        <v>4</v>
      </c>
      <c r="BX10" s="101" t="s">
        <v>461</v>
      </c>
      <c r="BY10" s="101">
        <v>284</v>
      </c>
      <c r="BZ10">
        <v>19</v>
      </c>
      <c r="CA10">
        <v>18.744</v>
      </c>
      <c r="CB10">
        <v>18.62</v>
      </c>
      <c r="CC10">
        <v>7</v>
      </c>
      <c r="CD10" s="101" t="s">
        <v>447</v>
      </c>
      <c r="CE10" s="101">
        <v>8.75</v>
      </c>
      <c r="CF10">
        <v>133</v>
      </c>
      <c r="CG10" s="101">
        <v>131.20400000000001</v>
      </c>
      <c r="CH10">
        <v>130.34</v>
      </c>
      <c r="CI10" s="101">
        <v>1.35</v>
      </c>
      <c r="CJ10" s="101">
        <v>0.75</v>
      </c>
      <c r="CK10" s="101">
        <v>5.25</v>
      </c>
      <c r="CL10">
        <v>0.874</v>
      </c>
      <c r="CM10">
        <v>6.1139999999999999</v>
      </c>
      <c r="CO10" s="101">
        <v>5</v>
      </c>
      <c r="CP10" s="101">
        <v>18.744</v>
      </c>
      <c r="CQ10" s="101">
        <v>93.72</v>
      </c>
      <c r="CR10" s="101">
        <v>93.1</v>
      </c>
      <c r="CS10" s="101" t="s">
        <v>460</v>
      </c>
      <c r="CT10">
        <v>1</v>
      </c>
      <c r="CU10">
        <v>1</v>
      </c>
      <c r="CV10" s="99">
        <v>44401</v>
      </c>
      <c r="CW10" s="100">
        <v>44401.767569444448</v>
      </c>
      <c r="CX10">
        <v>4</v>
      </c>
      <c r="CY10" t="s">
        <v>457</v>
      </c>
      <c r="CZ10">
        <v>777.9</v>
      </c>
      <c r="DA10">
        <v>732.54</v>
      </c>
      <c r="DB10">
        <v>3</v>
      </c>
      <c r="DC10">
        <v>777.9</v>
      </c>
      <c r="DD10">
        <v>7.9</v>
      </c>
      <c r="DE10">
        <v>770</v>
      </c>
      <c r="DF10" t="s">
        <v>458</v>
      </c>
      <c r="DG10">
        <v>1</v>
      </c>
      <c r="DH10" s="99">
        <v>44401</v>
      </c>
      <c r="DI10" s="100">
        <v>44401.768935185188</v>
      </c>
    </row>
    <row r="11" spans="1:113" x14ac:dyDescent="0.3">
      <c r="A11">
        <v>28</v>
      </c>
      <c r="B11" t="s">
        <v>583</v>
      </c>
      <c r="C11">
        <v>18</v>
      </c>
      <c r="D11" s="101" t="s">
        <v>584</v>
      </c>
      <c r="E11" s="101">
        <v>1</v>
      </c>
      <c r="F11">
        <v>1</v>
      </c>
      <c r="H11" s="99">
        <v>44403</v>
      </c>
      <c r="I11">
        <v>1495</v>
      </c>
      <c r="J11">
        <v>1469.82</v>
      </c>
      <c r="K11">
        <v>1379.82</v>
      </c>
      <c r="L11">
        <v>3</v>
      </c>
      <c r="M11">
        <v>120.18</v>
      </c>
      <c r="N11">
        <v>14.5</v>
      </c>
      <c r="O11">
        <v>84.32</v>
      </c>
      <c r="P11">
        <v>100</v>
      </c>
      <c r="Q11">
        <v>1500</v>
      </c>
      <c r="R11">
        <v>0</v>
      </c>
      <c r="S11">
        <v>1500</v>
      </c>
      <c r="T11">
        <v>1</v>
      </c>
      <c r="U11" s="99">
        <v>44401</v>
      </c>
      <c r="V11" s="100">
        <v>44401.767569444448</v>
      </c>
      <c r="W11">
        <v>52</v>
      </c>
      <c r="X11">
        <v>4</v>
      </c>
      <c r="Y11" t="s">
        <v>610</v>
      </c>
      <c r="Z11" s="101" t="s">
        <v>348</v>
      </c>
      <c r="AA11" t="s">
        <v>331</v>
      </c>
      <c r="AB11">
        <v>2323333333333330</v>
      </c>
      <c r="AC11">
        <v>23222233</v>
      </c>
      <c r="AE11">
        <v>1</v>
      </c>
      <c r="AF11" t="s">
        <v>459</v>
      </c>
      <c r="AG11">
        <v>35.5</v>
      </c>
      <c r="AH11">
        <v>2</v>
      </c>
      <c r="AI11" s="99" t="s">
        <v>461</v>
      </c>
      <c r="AJ11" s="100">
        <v>71</v>
      </c>
      <c r="AK11">
        <v>3</v>
      </c>
      <c r="AL11" t="s">
        <v>462</v>
      </c>
      <c r="AM11">
        <v>355</v>
      </c>
      <c r="AN11">
        <v>3</v>
      </c>
      <c r="AO11" t="s">
        <v>611</v>
      </c>
      <c r="AP11">
        <v>3</v>
      </c>
      <c r="AQ11" t="s">
        <v>612</v>
      </c>
      <c r="AR11">
        <v>2</v>
      </c>
      <c r="AS11" t="s">
        <v>607</v>
      </c>
      <c r="AT11">
        <v>2</v>
      </c>
      <c r="AU11" s="101" t="s">
        <v>613</v>
      </c>
      <c r="AV11">
        <v>2</v>
      </c>
      <c r="AW11" s="101" t="s">
        <v>608</v>
      </c>
      <c r="AX11">
        <v>2</v>
      </c>
      <c r="AY11" s="101" t="s">
        <v>609</v>
      </c>
      <c r="AZ11" t="s">
        <v>593</v>
      </c>
      <c r="BA11" t="s">
        <v>458</v>
      </c>
      <c r="BB11">
        <v>1023654988</v>
      </c>
      <c r="BE11" t="s">
        <v>594</v>
      </c>
      <c r="BG11" t="s">
        <v>595</v>
      </c>
      <c r="BH11" t="s">
        <v>596</v>
      </c>
      <c r="BI11">
        <v>0</v>
      </c>
      <c r="BJ11">
        <v>0.12</v>
      </c>
      <c r="BK11">
        <v>70</v>
      </c>
      <c r="BL11">
        <v>0</v>
      </c>
      <c r="BM11" t="s">
        <v>597</v>
      </c>
      <c r="BN11" t="s">
        <v>598</v>
      </c>
      <c r="BR11" t="s">
        <v>599</v>
      </c>
      <c r="BS11" t="s">
        <v>600</v>
      </c>
      <c r="BT11">
        <v>12222200000</v>
      </c>
      <c r="BU11" t="s">
        <v>601</v>
      </c>
      <c r="BV11" t="s">
        <v>602</v>
      </c>
      <c r="BW11">
        <v>4</v>
      </c>
      <c r="BX11" s="101" t="s">
        <v>462</v>
      </c>
      <c r="BY11" s="101">
        <v>335</v>
      </c>
      <c r="BZ11">
        <v>2</v>
      </c>
      <c r="CA11">
        <v>1.9830000000000001</v>
      </c>
      <c r="CB11">
        <v>1.96</v>
      </c>
      <c r="CC11">
        <v>25</v>
      </c>
      <c r="CD11" s="101" t="s">
        <v>463</v>
      </c>
      <c r="CE11" s="101">
        <v>100</v>
      </c>
      <c r="CF11">
        <v>50</v>
      </c>
      <c r="CG11" s="101">
        <v>49.575000000000003</v>
      </c>
      <c r="CH11">
        <v>49</v>
      </c>
      <c r="CI11" s="101">
        <v>0.85</v>
      </c>
      <c r="CJ11" s="101">
        <v>0.25</v>
      </c>
      <c r="CK11" s="101">
        <v>6.25</v>
      </c>
      <c r="CL11">
        <v>0.27300000000000002</v>
      </c>
      <c r="CM11">
        <v>6.8250000000000002</v>
      </c>
      <c r="CO11" s="101">
        <v>20</v>
      </c>
      <c r="CP11" s="101">
        <v>1.9830000000000001</v>
      </c>
      <c r="CQ11" s="101">
        <v>39.659999999999997</v>
      </c>
      <c r="CR11" s="101">
        <v>39.200000000000003</v>
      </c>
      <c r="CS11" s="101" t="s">
        <v>460</v>
      </c>
      <c r="CT11">
        <v>1</v>
      </c>
      <c r="CU11">
        <v>1</v>
      </c>
      <c r="CV11" s="99">
        <v>44401</v>
      </c>
      <c r="CW11" s="100">
        <v>44401.767569444448</v>
      </c>
      <c r="CX11">
        <v>4</v>
      </c>
      <c r="CY11" t="s">
        <v>457</v>
      </c>
      <c r="CZ11">
        <v>777.9</v>
      </c>
      <c r="DA11">
        <v>732.54</v>
      </c>
      <c r="DB11">
        <v>3</v>
      </c>
      <c r="DC11">
        <v>777.9</v>
      </c>
      <c r="DD11">
        <v>7.9</v>
      </c>
      <c r="DE11">
        <v>770</v>
      </c>
      <c r="DF11" t="s">
        <v>458</v>
      </c>
      <c r="DG11">
        <v>1</v>
      </c>
      <c r="DH11" s="99">
        <v>44401</v>
      </c>
      <c r="DI11" s="100">
        <v>44401.768935185188</v>
      </c>
    </row>
    <row r="18" spans="92:96" x14ac:dyDescent="0.3">
      <c r="CQ18">
        <f>+CO9*CP23</f>
        <v>644.52</v>
      </c>
      <c r="CR18">
        <f>+CO9*CQ23</f>
        <v>600.24</v>
      </c>
    </row>
    <row r="19" spans="92:96" x14ac:dyDescent="0.3">
      <c r="CQ19">
        <f t="shared" ref="CQ19:CQ20" si="0">+CO10*CP24</f>
        <v>93.72</v>
      </c>
      <c r="CR19">
        <f t="shared" ref="CR19:CR21" si="1">+CO10*CQ24</f>
        <v>93.100000000000009</v>
      </c>
    </row>
    <row r="20" spans="92:96" x14ac:dyDescent="0.3">
      <c r="CQ20">
        <f t="shared" si="0"/>
        <v>39.660000000000004</v>
      </c>
      <c r="CR20">
        <f t="shared" si="1"/>
        <v>39.200000000000003</v>
      </c>
    </row>
    <row r="21" spans="92:96" x14ac:dyDescent="0.3">
      <c r="CR21">
        <f t="shared" si="1"/>
        <v>0</v>
      </c>
    </row>
    <row r="22" spans="92:96" x14ac:dyDescent="0.3">
      <c r="CN22" s="101" t="s">
        <v>556</v>
      </c>
      <c r="CO22" t="s">
        <v>549</v>
      </c>
      <c r="CP22" t="s">
        <v>550</v>
      </c>
      <c r="CQ22" t="s">
        <v>551</v>
      </c>
      <c r="CR22" t="s">
        <v>552</v>
      </c>
    </row>
    <row r="23" spans="92:96" x14ac:dyDescent="0.3">
      <c r="CN23" s="101">
        <v>1289.04</v>
      </c>
      <c r="CO23">
        <v>656</v>
      </c>
      <c r="CP23">
        <v>644.52</v>
      </c>
      <c r="CQ23">
        <v>600.24</v>
      </c>
      <c r="CR23">
        <v>2</v>
      </c>
    </row>
    <row r="24" spans="92:96" x14ac:dyDescent="0.3">
      <c r="CN24" s="101">
        <v>131.20400000000001</v>
      </c>
      <c r="CO24">
        <v>19</v>
      </c>
      <c r="CP24">
        <v>18.744</v>
      </c>
      <c r="CQ24">
        <v>18.62</v>
      </c>
      <c r="CR24">
        <v>7</v>
      </c>
    </row>
    <row r="25" spans="92:96" x14ac:dyDescent="0.3">
      <c r="CN25" s="101">
        <v>49.575000000000003</v>
      </c>
      <c r="CO25">
        <v>2</v>
      </c>
      <c r="CP25">
        <v>1.9830000000000001</v>
      </c>
      <c r="CQ25">
        <v>1.96</v>
      </c>
      <c r="CR2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BuyBill Tables</vt:lpstr>
      <vt:lpstr>BuyBill Calculations</vt:lpstr>
      <vt:lpstr>Item Operations Table</vt:lpstr>
      <vt:lpstr>Zakaa</vt:lpstr>
      <vt:lpstr>Supplier Account Statement</vt:lpstr>
      <vt:lpstr>PurchasesSearch</vt:lpstr>
      <vt:lpstr>Repurchases</vt:lpstr>
      <vt:lpstr>Test Item Quanity</vt:lpstr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Soliman</dc:creator>
  <cp:lastModifiedBy>Mohammed Soliman</cp:lastModifiedBy>
  <dcterms:created xsi:type="dcterms:W3CDTF">2021-01-07T14:11:04Z</dcterms:created>
  <dcterms:modified xsi:type="dcterms:W3CDTF">2021-07-25T22:49:38Z</dcterms:modified>
</cp:coreProperties>
</file>