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armacy\C# Projects\"/>
    </mc:Choice>
  </mc:AlternateContent>
  <bookViews>
    <workbookView xWindow="360" yWindow="108" windowWidth="14352" windowHeight="4692"/>
  </bookViews>
  <sheets>
    <sheet name="Items TB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11" i="3" l="1"/>
  <c r="E10" i="3"/>
  <c r="E9" i="3"/>
  <c r="E6" i="3" l="1"/>
  <c r="E5" i="3"/>
  <c r="E4" i="3"/>
  <c r="C6" i="3"/>
  <c r="C5" i="3"/>
  <c r="C4" i="3"/>
  <c r="A6" i="3" l="1"/>
  <c r="A5" i="3"/>
</calcChain>
</file>

<file path=xl/sharedStrings.xml><?xml version="1.0" encoding="utf-8"?>
<sst xmlns="http://schemas.openxmlformats.org/spreadsheetml/2006/main" count="262" uniqueCount="135">
  <si>
    <t>itemid</t>
  </si>
  <si>
    <t>int</t>
  </si>
  <si>
    <t>itembarcode</t>
  </si>
  <si>
    <t>nvarchar (100)</t>
  </si>
  <si>
    <t>itembarcode1</t>
  </si>
  <si>
    <t>itembarcode2</t>
  </si>
  <si>
    <t>itemName</t>
  </si>
  <si>
    <t>nvarchar (150)</t>
  </si>
  <si>
    <t>itemEnglishName</t>
  </si>
  <si>
    <t>itemDosageForm</t>
  </si>
  <si>
    <t>DosageFormID</t>
  </si>
  <si>
    <t>DosageFormName</t>
  </si>
  <si>
    <t>Date</t>
  </si>
  <si>
    <t>nvarchar (50)</t>
  </si>
  <si>
    <t>time</t>
  </si>
  <si>
    <t>pcnamewhoadded</t>
  </si>
  <si>
    <t>Dosageformwhoadded</t>
  </si>
  <si>
    <t>DosageFormState</t>
  </si>
  <si>
    <t>bit</t>
  </si>
  <si>
    <t>GenericID</t>
  </si>
  <si>
    <t>GenericName</t>
  </si>
  <si>
    <t>Genericwhoadded</t>
  </si>
  <si>
    <t>GenericState</t>
  </si>
  <si>
    <t>الاسم العلمى</t>
  </si>
  <si>
    <t>itemGeneric</t>
  </si>
  <si>
    <t>الشكل الدوائى</t>
  </si>
  <si>
    <t>الأصناف</t>
  </si>
  <si>
    <t>المجموعة العلمية</t>
  </si>
  <si>
    <t>قسم طبى 1</t>
  </si>
  <si>
    <t>قسم طبى 3</t>
  </si>
  <si>
    <t>قسم طبى 2</t>
  </si>
  <si>
    <t>قسم طبى 4</t>
  </si>
  <si>
    <t>قسم طبى 5</t>
  </si>
  <si>
    <t>مادة علمية 1</t>
  </si>
  <si>
    <t>مادة علمية 2</t>
  </si>
  <si>
    <t>مادة علمية 3</t>
  </si>
  <si>
    <t>مادة علمية 4</t>
  </si>
  <si>
    <t>مادة علمية 5</t>
  </si>
  <si>
    <t>مجموعة من الادوية 1</t>
  </si>
  <si>
    <t>مجموعة من الادوية 2</t>
  </si>
  <si>
    <t>مجموعة من الادوية 3</t>
  </si>
  <si>
    <t>مجموعة من الادوية 4</t>
  </si>
  <si>
    <t>مجموعة من الادوية 5</t>
  </si>
  <si>
    <t>كل دواء لة شكل دوائى</t>
  </si>
  <si>
    <t>ItemClassOfAction</t>
  </si>
  <si>
    <t>ClassOfActionID</t>
  </si>
  <si>
    <t>ClassOfActionName</t>
  </si>
  <si>
    <t>ItemGroup</t>
  </si>
  <si>
    <t>GroupID</t>
  </si>
  <si>
    <t>GroupName</t>
  </si>
  <si>
    <t>ClassOfActionwhoadded</t>
  </si>
  <si>
    <t>ClassOfActionState</t>
  </si>
  <si>
    <t>Groupwhoadded</t>
  </si>
  <si>
    <t>GroupState</t>
  </si>
  <si>
    <t>ItemCompany</t>
  </si>
  <si>
    <t>CompanyID</t>
  </si>
  <si>
    <t>CompanyName</t>
  </si>
  <si>
    <t>Companywhoadded</t>
  </si>
  <si>
    <t>CompanyState</t>
  </si>
  <si>
    <t>ItemPlace</t>
  </si>
  <si>
    <t>PlaceID</t>
  </si>
  <si>
    <t>PlaceName</t>
  </si>
  <si>
    <t>Placewhoadded</t>
  </si>
  <si>
    <t>PlaceState</t>
  </si>
  <si>
    <t>UnitID</t>
  </si>
  <si>
    <t>UnitName</t>
  </si>
  <si>
    <t>Unitwhoadded</t>
  </si>
  <si>
    <t>UnitState</t>
  </si>
  <si>
    <t>ItemLargeUnit</t>
  </si>
  <si>
    <t>ItemLargeUnitSalePrice</t>
  </si>
  <si>
    <t>ItemLargeUnitBuyPrice</t>
  </si>
  <si>
    <t>ItemMeduimUnit</t>
  </si>
  <si>
    <t>ItemMeduimUnitSalePrice</t>
  </si>
  <si>
    <t>ItemMeduimUnitBuyPrice</t>
  </si>
  <si>
    <t>ItemSmallUnit</t>
  </si>
  <si>
    <t>ItemSmallUnitSalePrice</t>
  </si>
  <si>
    <t>ItemSmallUnitBuyPrice</t>
  </si>
  <si>
    <t>ItemLargeUnitNo</t>
  </si>
  <si>
    <t>ItemMeduimUnitNo</t>
  </si>
  <si>
    <t>ItemSmallUnitNo</t>
  </si>
  <si>
    <t>Deciaml(18,3)</t>
  </si>
  <si>
    <t>ItemLargeQuantity</t>
  </si>
  <si>
    <t>ItemMediumQuantity</t>
  </si>
  <si>
    <t>ItemSmallQuantity</t>
  </si>
  <si>
    <t>ItemDemandLimit</t>
  </si>
  <si>
    <t>ItemMaxDiscound</t>
  </si>
  <si>
    <t>ItemType</t>
  </si>
  <si>
    <t>ItemDrug</t>
  </si>
  <si>
    <t>ItemAccessories</t>
  </si>
  <si>
    <t>ItemLocal</t>
  </si>
  <si>
    <t>ItemImported</t>
  </si>
  <si>
    <t>ItemExpiry</t>
  </si>
  <si>
    <t>ItemNarcotic</t>
  </si>
  <si>
    <t>ItemRefragated</t>
  </si>
  <si>
    <t>ItemUnCommon</t>
  </si>
  <si>
    <t>Itemwhoadded</t>
  </si>
  <si>
    <t>pcnamewhoModified</t>
  </si>
  <si>
    <t>ItemwhoModified</t>
  </si>
  <si>
    <t>ItemWhoDeleted</t>
  </si>
  <si>
    <t>PcNameWhoDeleted</t>
  </si>
  <si>
    <t>القسم الطبى</t>
  </si>
  <si>
    <t>الشركات</t>
  </si>
  <si>
    <t>الاماكن</t>
  </si>
  <si>
    <t>الوحدات</t>
  </si>
  <si>
    <t>large</t>
  </si>
  <si>
    <t>Medium</t>
  </si>
  <si>
    <t>small</t>
  </si>
  <si>
    <t xml:space="preserve">  ////if purchase bill is Cash</t>
  </si>
  <si>
    <t xml:space="preserve">                //if (comboPayType.SelectedIndex == 0 &amp;&amp; dgvSearch.Rows.Count &gt; 0)</t>
  </si>
  <si>
    <t xml:space="preserve">                //{</t>
  </si>
  <si>
    <t xml:space="preserve">                //    //ResetDecimalFields Method to reset Control in pnlBottom to Zero</t>
  </si>
  <si>
    <t xml:space="preserve">                //    ResetDecimalFields();</t>
  </si>
  <si>
    <t xml:space="preserve">                //    //Calculate lblTotalAmount of Purchase bill  اجمالى قيمةالفاتورة أو المطلوب = </t>
  </si>
  <si>
    <t xml:space="preserve">                //    //اجمالى الفاتورة بسعر الشراء + اجمالى الضريبة على الفاتورة + اجمالى المصروفات - الخصم النقدى على الفاتورة</t>
  </si>
  <si>
    <t xml:space="preserve">                //    lblTotalAmount.Text = (Double.Parse(lblTotalBuy.Text) + Double.Parse(lblTotalTax.Text) + Double.Parse(txtExpenses.Text) - Double.Parse(txtDiscound.Text)).ToString();</t>
  </si>
  <si>
    <t xml:space="preserve">                //    //المدفوع = اجمالى قيمةالفاتورة أو المطلوب</t>
  </si>
  <si>
    <t xml:space="preserve">                //    txtTotalPaid.Text = lblTotalAmount.Text;</t>
  </si>
  <si>
    <t xml:space="preserve">                //    //Change ReadOnly of txtTotalPaid to true</t>
  </si>
  <si>
    <t xml:space="preserve">                //    txtTotalPaid.ReadOnly = true;</t>
  </si>
  <si>
    <t xml:space="preserve">                //    //Calculate lblTotalRemain of Purchase bill  المتبقى = 0</t>
  </si>
  <si>
    <t xml:space="preserve">                //    lblTotalRemain.Text = "0";</t>
  </si>
  <si>
    <t xml:space="preserve">                //}</t>
  </si>
  <si>
    <t xml:space="preserve">                ////if purchase bill is Postpone</t>
  </si>
  <si>
    <t xml:space="preserve">                //else if (comboPayType.SelectedIndex == 1 &amp;&amp; dgvSearch.Rows.Count &gt; 0)</t>
  </si>
  <si>
    <t xml:space="preserve">                //    //Calculate txtTotalPaid of Purchase bill  المدفوع = 0</t>
  </si>
  <si>
    <t xml:space="preserve">                //    txtTotalPaid.Text = "0";</t>
  </si>
  <si>
    <t xml:space="preserve">                //    //Calculate lblTotalRemain of Purchase bill</t>
  </si>
  <si>
    <t xml:space="preserve">                //    //المتبقى = اجمالى قيمةالفاتورة أو المطلوب</t>
  </si>
  <si>
    <t xml:space="preserve">                //    lblTotalRemain.Text = lblTotalAmount.Text;</t>
  </si>
  <si>
    <t xml:space="preserve">                //else if (comboPayType.SelectedIndex == 2 &amp;&amp; dgvSearch.Rows.Count &gt; 0) // if any other cases</t>
  </si>
  <si>
    <t xml:space="preserve">                //    //Change ReadOnly of txtTotalPaid to false</t>
  </si>
  <si>
    <t xml:space="preserve">                //    txtTotalPaid.ReadOnly = false;</t>
  </si>
  <si>
    <t xml:space="preserve">                //    //Calculate lblTotalRemain of Purchase bill  المتبقى =</t>
  </si>
  <si>
    <t xml:space="preserve">                //    //اجمالى قيمةالفاتورة أو المطلوب - المدفوع</t>
  </si>
  <si>
    <t xml:space="preserve">                //    lblTotalRemain.Text = (Double.Parse(lblTotalAmount.Text) - Double.Parse(txtTotalPaid.Text)).ToString();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</si>
</sst>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115" zoomScaleNormal="115" workbookViewId="0">
      <selection activeCell="I1" sqref="I1:J1"/>
    </sheetView>
  </sheetViews>
  <sheetFormatPr defaultRowHeight="14.4" x14ac:dyDescent="0.3"/>
  <cols>
    <col min="1" max="1" width="22.6640625" bestFit="1" customWidth="1"/>
    <col min="2" max="2" width="13.5546875" bestFit="1" customWidth="1"/>
    <col min="3" max="3" width="21.5546875" bestFit="1" customWidth="1"/>
    <col min="4" max="4" width="13.5546875" bestFit="1" customWidth="1"/>
    <col min="5" max="5" width="17.6640625" bestFit="1" customWidth="1"/>
    <col min="6" max="6" width="13.5546875" bestFit="1" customWidth="1"/>
    <col min="7" max="7" width="23.109375" bestFit="1" customWidth="1"/>
    <col min="8" max="8" width="13.5546875" bestFit="1" customWidth="1"/>
    <col min="9" max="9" width="17.6640625" bestFit="1" customWidth="1"/>
    <col min="10" max="10" width="13.5546875" bestFit="1" customWidth="1"/>
    <col min="11" max="11" width="19" bestFit="1" customWidth="1"/>
    <col min="12" max="12" width="13.5546875" bestFit="1" customWidth="1"/>
    <col min="13" max="13" width="17.6640625" bestFit="1" customWidth="1"/>
    <col min="14" max="14" width="13.5546875" bestFit="1" customWidth="1"/>
    <col min="15" max="15" width="17.6640625" bestFit="1" customWidth="1"/>
    <col min="16" max="16" width="13.5546875" bestFit="1" customWidth="1"/>
  </cols>
  <sheetData>
    <row r="1" spans="1:16" x14ac:dyDescent="0.3">
      <c r="A1" s="3" t="s">
        <v>26</v>
      </c>
      <c r="B1" s="3"/>
      <c r="C1" s="4" t="s">
        <v>25</v>
      </c>
      <c r="D1" s="4"/>
      <c r="E1" s="6" t="s">
        <v>23</v>
      </c>
      <c r="F1" s="6"/>
      <c r="G1" s="7" t="s">
        <v>100</v>
      </c>
      <c r="H1" s="7"/>
      <c r="I1" s="5" t="s">
        <v>27</v>
      </c>
      <c r="J1" s="5"/>
      <c r="K1" s="2" t="s">
        <v>101</v>
      </c>
      <c r="L1" s="2"/>
      <c r="M1" s="2" t="s">
        <v>102</v>
      </c>
      <c r="N1" s="2"/>
      <c r="O1" s="2" t="s">
        <v>103</v>
      </c>
      <c r="P1" s="2"/>
    </row>
    <row r="2" spans="1:16" x14ac:dyDescent="0.3">
      <c r="A2" t="s">
        <v>0</v>
      </c>
      <c r="B2" t="s">
        <v>1</v>
      </c>
      <c r="C2" t="s">
        <v>10</v>
      </c>
      <c r="D2" t="s">
        <v>1</v>
      </c>
      <c r="E2" t="s">
        <v>19</v>
      </c>
      <c r="F2" t="s">
        <v>1</v>
      </c>
      <c r="G2" t="s">
        <v>45</v>
      </c>
      <c r="H2" t="s">
        <v>1</v>
      </c>
      <c r="I2" t="s">
        <v>48</v>
      </c>
      <c r="J2" t="s">
        <v>1</v>
      </c>
      <c r="K2" t="s">
        <v>55</v>
      </c>
      <c r="L2" t="s">
        <v>1</v>
      </c>
      <c r="M2" t="s">
        <v>60</v>
      </c>
      <c r="N2" t="s">
        <v>1</v>
      </c>
      <c r="O2" t="s">
        <v>64</v>
      </c>
      <c r="P2" t="s">
        <v>1</v>
      </c>
    </row>
    <row r="3" spans="1:16" x14ac:dyDescent="0.3">
      <c r="A3" t="s">
        <v>2</v>
      </c>
      <c r="B3" t="s">
        <v>3</v>
      </c>
      <c r="C3" t="s">
        <v>11</v>
      </c>
      <c r="D3" t="s">
        <v>3</v>
      </c>
      <c r="E3" t="s">
        <v>20</v>
      </c>
      <c r="F3" t="s">
        <v>3</v>
      </c>
      <c r="G3" t="s">
        <v>46</v>
      </c>
      <c r="H3" t="s">
        <v>3</v>
      </c>
      <c r="I3" t="s">
        <v>49</v>
      </c>
      <c r="J3" t="s">
        <v>3</v>
      </c>
      <c r="K3" t="s">
        <v>56</v>
      </c>
      <c r="L3" t="s">
        <v>3</v>
      </c>
      <c r="M3" t="s">
        <v>61</v>
      </c>
      <c r="N3" t="s">
        <v>3</v>
      </c>
      <c r="O3" t="s">
        <v>65</v>
      </c>
      <c r="P3" t="s">
        <v>3</v>
      </c>
    </row>
    <row r="4" spans="1:16" x14ac:dyDescent="0.3">
      <c r="A4" t="s">
        <v>4</v>
      </c>
      <c r="B4" t="s">
        <v>3</v>
      </c>
      <c r="C4" t="s">
        <v>12</v>
      </c>
      <c r="D4" t="s">
        <v>13</v>
      </c>
      <c r="E4" t="s">
        <v>12</v>
      </c>
      <c r="F4" t="s">
        <v>13</v>
      </c>
      <c r="G4" t="s">
        <v>12</v>
      </c>
      <c r="H4" t="s">
        <v>13</v>
      </c>
      <c r="I4" t="s">
        <v>12</v>
      </c>
      <c r="J4" t="s">
        <v>13</v>
      </c>
      <c r="K4" t="s">
        <v>12</v>
      </c>
      <c r="L4" t="s">
        <v>13</v>
      </c>
      <c r="M4" t="s">
        <v>12</v>
      </c>
      <c r="N4" t="s">
        <v>13</v>
      </c>
      <c r="O4" t="s">
        <v>12</v>
      </c>
      <c r="P4" t="s">
        <v>13</v>
      </c>
    </row>
    <row r="5" spans="1:16" x14ac:dyDescent="0.3">
      <c r="A5" t="s">
        <v>5</v>
      </c>
      <c r="B5" t="s">
        <v>3</v>
      </c>
      <c r="C5" t="s">
        <v>14</v>
      </c>
      <c r="D5" t="s">
        <v>13</v>
      </c>
      <c r="E5" t="s">
        <v>14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 t="s">
        <v>14</v>
      </c>
      <c r="L5" t="s">
        <v>13</v>
      </c>
      <c r="M5" t="s">
        <v>14</v>
      </c>
      <c r="N5" t="s">
        <v>13</v>
      </c>
      <c r="O5" t="s">
        <v>14</v>
      </c>
      <c r="P5" t="s">
        <v>13</v>
      </c>
    </row>
    <row r="6" spans="1:16" x14ac:dyDescent="0.3">
      <c r="A6" t="s">
        <v>6</v>
      </c>
      <c r="B6" t="s">
        <v>7</v>
      </c>
      <c r="C6" t="s">
        <v>15</v>
      </c>
      <c r="D6" t="s">
        <v>13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13</v>
      </c>
      <c r="K6" t="s">
        <v>15</v>
      </c>
      <c r="L6" t="s">
        <v>13</v>
      </c>
      <c r="M6" t="s">
        <v>15</v>
      </c>
      <c r="N6" t="s">
        <v>13</v>
      </c>
      <c r="O6" t="s">
        <v>15</v>
      </c>
      <c r="P6" t="s">
        <v>13</v>
      </c>
    </row>
    <row r="7" spans="1:16" x14ac:dyDescent="0.3">
      <c r="A7" t="s">
        <v>8</v>
      </c>
      <c r="B7" t="s">
        <v>7</v>
      </c>
      <c r="C7" t="s">
        <v>16</v>
      </c>
      <c r="D7" t="s">
        <v>1</v>
      </c>
      <c r="E7" t="s">
        <v>21</v>
      </c>
      <c r="F7" t="s">
        <v>1</v>
      </c>
      <c r="G7" t="s">
        <v>50</v>
      </c>
      <c r="H7" t="s">
        <v>1</v>
      </c>
      <c r="I7" t="s">
        <v>52</v>
      </c>
      <c r="J7" t="s">
        <v>1</v>
      </c>
      <c r="K7" t="s">
        <v>57</v>
      </c>
      <c r="L7" t="s">
        <v>1</v>
      </c>
      <c r="M7" t="s">
        <v>62</v>
      </c>
      <c r="N7" t="s">
        <v>1</v>
      </c>
      <c r="O7" t="s">
        <v>66</v>
      </c>
      <c r="P7" t="s">
        <v>1</v>
      </c>
    </row>
    <row r="8" spans="1:16" x14ac:dyDescent="0.3">
      <c r="A8" t="s">
        <v>9</v>
      </c>
      <c r="B8" t="s">
        <v>1</v>
      </c>
      <c r="C8" t="s">
        <v>17</v>
      </c>
      <c r="D8" t="s">
        <v>18</v>
      </c>
      <c r="E8" t="s">
        <v>22</v>
      </c>
      <c r="F8" t="s">
        <v>18</v>
      </c>
      <c r="G8" t="s">
        <v>51</v>
      </c>
      <c r="H8" t="s">
        <v>18</v>
      </c>
      <c r="I8" t="s">
        <v>53</v>
      </c>
      <c r="J8" t="s">
        <v>18</v>
      </c>
      <c r="K8" t="s">
        <v>58</v>
      </c>
      <c r="L8" t="s">
        <v>18</v>
      </c>
      <c r="M8" t="s">
        <v>63</v>
      </c>
      <c r="N8" t="s">
        <v>18</v>
      </c>
      <c r="O8" t="s">
        <v>67</v>
      </c>
      <c r="P8" t="s">
        <v>18</v>
      </c>
    </row>
    <row r="9" spans="1:16" x14ac:dyDescent="0.3">
      <c r="A9" t="s">
        <v>24</v>
      </c>
      <c r="B9" t="s">
        <v>1</v>
      </c>
    </row>
    <row r="10" spans="1:16" x14ac:dyDescent="0.3">
      <c r="A10" t="s">
        <v>44</v>
      </c>
      <c r="B10" t="s">
        <v>1</v>
      </c>
    </row>
    <row r="11" spans="1:16" x14ac:dyDescent="0.3">
      <c r="A11" t="s">
        <v>47</v>
      </c>
      <c r="B11" t="s">
        <v>1</v>
      </c>
    </row>
    <row r="12" spans="1:16" x14ac:dyDescent="0.3">
      <c r="A12" t="s">
        <v>54</v>
      </c>
      <c r="B12" t="s">
        <v>1</v>
      </c>
    </row>
    <row r="13" spans="1:16" x14ac:dyDescent="0.3">
      <c r="A13" t="s">
        <v>59</v>
      </c>
      <c r="B13" t="s">
        <v>1</v>
      </c>
    </row>
    <row r="14" spans="1:16" x14ac:dyDescent="0.3">
      <c r="A14" t="s">
        <v>68</v>
      </c>
      <c r="B14" t="s">
        <v>1</v>
      </c>
    </row>
    <row r="15" spans="1:16" x14ac:dyDescent="0.3">
      <c r="A15" t="s">
        <v>77</v>
      </c>
      <c r="B15" t="s">
        <v>1</v>
      </c>
    </row>
    <row r="16" spans="1:16" x14ac:dyDescent="0.3">
      <c r="A16" t="s">
        <v>69</v>
      </c>
      <c r="B16" t="s">
        <v>80</v>
      </c>
    </row>
    <row r="17" spans="1:2" x14ac:dyDescent="0.3">
      <c r="A17" t="s">
        <v>70</v>
      </c>
      <c r="B17" t="s">
        <v>80</v>
      </c>
    </row>
    <row r="18" spans="1:2" x14ac:dyDescent="0.3">
      <c r="A18" t="s">
        <v>81</v>
      </c>
      <c r="B18" t="s">
        <v>80</v>
      </c>
    </row>
    <row r="19" spans="1:2" x14ac:dyDescent="0.3">
      <c r="A19" t="s">
        <v>71</v>
      </c>
      <c r="B19" t="s">
        <v>1</v>
      </c>
    </row>
    <row r="20" spans="1:2" x14ac:dyDescent="0.3">
      <c r="A20" t="s">
        <v>78</v>
      </c>
      <c r="B20" t="s">
        <v>1</v>
      </c>
    </row>
    <row r="21" spans="1:2" x14ac:dyDescent="0.3">
      <c r="A21" t="s">
        <v>72</v>
      </c>
      <c r="B21" t="s">
        <v>80</v>
      </c>
    </row>
    <row r="22" spans="1:2" x14ac:dyDescent="0.3">
      <c r="A22" t="s">
        <v>73</v>
      </c>
      <c r="B22" t="s">
        <v>80</v>
      </c>
    </row>
    <row r="23" spans="1:2" x14ac:dyDescent="0.3">
      <c r="A23" t="s">
        <v>82</v>
      </c>
      <c r="B23" t="s">
        <v>80</v>
      </c>
    </row>
    <row r="24" spans="1:2" x14ac:dyDescent="0.3">
      <c r="A24" t="s">
        <v>74</v>
      </c>
      <c r="B24" t="s">
        <v>1</v>
      </c>
    </row>
    <row r="25" spans="1:2" x14ac:dyDescent="0.3">
      <c r="A25" t="s">
        <v>79</v>
      </c>
      <c r="B25" t="s">
        <v>1</v>
      </c>
    </row>
    <row r="26" spans="1:2" x14ac:dyDescent="0.3">
      <c r="A26" t="s">
        <v>75</v>
      </c>
      <c r="B26" t="s">
        <v>80</v>
      </c>
    </row>
    <row r="27" spans="1:2" x14ac:dyDescent="0.3">
      <c r="A27" t="s">
        <v>76</v>
      </c>
      <c r="B27" t="s">
        <v>80</v>
      </c>
    </row>
    <row r="28" spans="1:2" x14ac:dyDescent="0.3">
      <c r="A28" t="s">
        <v>83</v>
      </c>
      <c r="B28" t="s">
        <v>80</v>
      </c>
    </row>
    <row r="29" spans="1:2" x14ac:dyDescent="0.3">
      <c r="A29" t="s">
        <v>84</v>
      </c>
      <c r="B29" t="s">
        <v>80</v>
      </c>
    </row>
    <row r="30" spans="1:2" x14ac:dyDescent="0.3">
      <c r="A30" t="s">
        <v>85</v>
      </c>
      <c r="B30" t="s">
        <v>80</v>
      </c>
    </row>
    <row r="31" spans="1:2" x14ac:dyDescent="0.3">
      <c r="A31" t="s">
        <v>86</v>
      </c>
      <c r="B31" t="s">
        <v>1</v>
      </c>
    </row>
    <row r="32" spans="1:2" x14ac:dyDescent="0.3">
      <c r="A32" t="s">
        <v>87</v>
      </c>
      <c r="B32" t="s">
        <v>18</v>
      </c>
    </row>
    <row r="33" spans="1:2" x14ac:dyDescent="0.3">
      <c r="A33" t="s">
        <v>88</v>
      </c>
      <c r="B33" t="s">
        <v>18</v>
      </c>
    </row>
    <row r="34" spans="1:2" x14ac:dyDescent="0.3">
      <c r="A34" t="s">
        <v>89</v>
      </c>
      <c r="B34" t="s">
        <v>18</v>
      </c>
    </row>
    <row r="35" spans="1:2" x14ac:dyDescent="0.3">
      <c r="A35" t="s">
        <v>90</v>
      </c>
      <c r="B35" t="s">
        <v>18</v>
      </c>
    </row>
    <row r="36" spans="1:2" x14ac:dyDescent="0.3">
      <c r="A36" t="s">
        <v>91</v>
      </c>
      <c r="B36" t="s">
        <v>18</v>
      </c>
    </row>
    <row r="37" spans="1:2" x14ac:dyDescent="0.3">
      <c r="A37" t="s">
        <v>92</v>
      </c>
      <c r="B37" t="s">
        <v>18</v>
      </c>
    </row>
    <row r="38" spans="1:2" x14ac:dyDescent="0.3">
      <c r="A38" t="s">
        <v>93</v>
      </c>
      <c r="B38" t="s">
        <v>18</v>
      </c>
    </row>
    <row r="39" spans="1:2" x14ac:dyDescent="0.3">
      <c r="A39" t="s">
        <v>94</v>
      </c>
      <c r="B39" t="s">
        <v>18</v>
      </c>
    </row>
    <row r="40" spans="1:2" x14ac:dyDescent="0.3">
      <c r="A40" t="s">
        <v>15</v>
      </c>
      <c r="B40" t="s">
        <v>13</v>
      </c>
    </row>
    <row r="41" spans="1:2" x14ac:dyDescent="0.3">
      <c r="A41" t="s">
        <v>95</v>
      </c>
      <c r="B41" t="s">
        <v>1</v>
      </c>
    </row>
    <row r="42" spans="1:2" x14ac:dyDescent="0.3">
      <c r="A42" t="s">
        <v>96</v>
      </c>
      <c r="B42" t="s">
        <v>13</v>
      </c>
    </row>
    <row r="43" spans="1:2" x14ac:dyDescent="0.3">
      <c r="A43" t="s">
        <v>97</v>
      </c>
      <c r="B43" t="s">
        <v>1</v>
      </c>
    </row>
    <row r="44" spans="1:2" x14ac:dyDescent="0.3">
      <c r="A44" t="s">
        <v>99</v>
      </c>
      <c r="B44" t="s">
        <v>13</v>
      </c>
    </row>
    <row r="45" spans="1:2" x14ac:dyDescent="0.3">
      <c r="A45" t="s">
        <v>98</v>
      </c>
      <c r="B45" t="s">
        <v>1</v>
      </c>
    </row>
    <row r="46" spans="1:2" x14ac:dyDescent="0.3">
      <c r="A46" t="s">
        <v>12</v>
      </c>
      <c r="B46" t="s">
        <v>13</v>
      </c>
    </row>
    <row r="47" spans="1:2" x14ac:dyDescent="0.3">
      <c r="A47" t="s">
        <v>14</v>
      </c>
      <c r="B47" t="s">
        <v>13</v>
      </c>
    </row>
  </sheetData>
  <mergeCells count="8">
    <mergeCell ref="O1:P1"/>
    <mergeCell ref="C1:D1"/>
    <mergeCell ref="E1:F1"/>
    <mergeCell ref="A1:B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rightToLeft="1" workbookViewId="0">
      <selection activeCell="A5" sqref="A5:E5"/>
    </sheetView>
  </sheetViews>
  <sheetFormatPr defaultRowHeight="14.4" x14ac:dyDescent="0.3"/>
  <cols>
    <col min="1" max="5" width="16.44140625" bestFit="1" customWidth="1"/>
  </cols>
  <sheetData>
    <row r="1" spans="1:5" x14ac:dyDescent="0.3">
      <c r="A1" s="2" t="s">
        <v>27</v>
      </c>
      <c r="B1" s="2"/>
      <c r="C1" s="2"/>
      <c r="D1" s="2"/>
      <c r="E1" s="2"/>
    </row>
    <row r="2" spans="1:5" x14ac:dyDescent="0.3">
      <c r="A2" t="s">
        <v>28</v>
      </c>
      <c r="B2" t="s">
        <v>30</v>
      </c>
      <c r="C2" t="s">
        <v>29</v>
      </c>
      <c r="D2" t="s">
        <v>31</v>
      </c>
      <c r="E2" t="s">
        <v>32</v>
      </c>
    </row>
    <row r="3" spans="1:5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</row>
    <row r="5" spans="1:5" x14ac:dyDescent="0.3">
      <c r="A5" s="2" t="s">
        <v>43</v>
      </c>
      <c r="B5" s="2"/>
      <c r="C5" s="2"/>
      <c r="D5" s="2"/>
      <c r="E5" s="2"/>
    </row>
  </sheetData>
  <mergeCells count="2">
    <mergeCell ref="A1:E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H5" sqref="H5"/>
    </sheetView>
  </sheetViews>
  <sheetFormatPr defaultRowHeight="14.4" x14ac:dyDescent="0.3"/>
  <sheetData>
    <row r="1" spans="1:9" x14ac:dyDescent="0.3">
      <c r="A1">
        <v>1500</v>
      </c>
      <c r="I1" t="s">
        <v>107</v>
      </c>
    </row>
    <row r="2" spans="1:9" x14ac:dyDescent="0.3">
      <c r="A2">
        <v>16000</v>
      </c>
      <c r="I2" t="s">
        <v>108</v>
      </c>
    </row>
    <row r="3" spans="1:9" x14ac:dyDescent="0.3">
      <c r="A3">
        <v>7340</v>
      </c>
      <c r="I3" t="s">
        <v>109</v>
      </c>
    </row>
    <row r="4" spans="1:9" x14ac:dyDescent="0.3">
      <c r="A4">
        <v>12500.875</v>
      </c>
      <c r="C4">
        <f>25+15+2.917+10+7.5+0.833+5+2.5+0.417+0.333+5+15+50+100+25+10+0.333+25+0.667+7.5+50+10+40+10+10-4-2.5-0.5-5</f>
        <v>416</v>
      </c>
      <c r="D4" t="s">
        <v>104</v>
      </c>
      <c r="E4">
        <f>25+10+5+0.333*2+0.667+40-0.5</f>
        <v>80.832999999999998</v>
      </c>
      <c r="I4" t="s">
        <v>110</v>
      </c>
    </row>
    <row r="5" spans="1:9" x14ac:dyDescent="0.3">
      <c r="A5">
        <f>SUM(A1:A4)</f>
        <v>37340.875</v>
      </c>
      <c r="C5">
        <f>75+30+5.833+30+15+1.667+15+5+0.833+1+10+30+100+200+50+20+1+50+2+15+100+20+120+20+20-8-5-1.5-10</f>
        <v>912.83299999999997</v>
      </c>
      <c r="D5" t="s">
        <v>105</v>
      </c>
      <c r="E5" s="1">
        <f>75+30+15+1+1+2+120-1.5</f>
        <v>242.5</v>
      </c>
      <c r="I5" t="s">
        <v>111</v>
      </c>
    </row>
    <row r="6" spans="1:9" x14ac:dyDescent="0.3">
      <c r="A6">
        <f>+A5-8613.5</f>
        <v>28727.375</v>
      </c>
      <c r="C6">
        <f>750+120+35+300+60+10+150+20+5+10+60+120+400+1200+200+120+10+200+20+90+400+120+1200+80+100-32-30-15-60</f>
        <v>5643</v>
      </c>
      <c r="D6" t="s">
        <v>106</v>
      </c>
      <c r="E6">
        <f>750+300+150+10+10+20+1200-15</f>
        <v>2425</v>
      </c>
    </row>
    <row r="7" spans="1:9" x14ac:dyDescent="0.3">
      <c r="I7" t="s">
        <v>112</v>
      </c>
    </row>
    <row r="8" spans="1:9" x14ac:dyDescent="0.3">
      <c r="I8" t="s">
        <v>113</v>
      </c>
    </row>
    <row r="9" spans="1:9" x14ac:dyDescent="0.3">
      <c r="E9">
        <f>67.5*3</f>
        <v>202.5</v>
      </c>
      <c r="I9" t="s">
        <v>114</v>
      </c>
    </row>
    <row r="10" spans="1:9" x14ac:dyDescent="0.3">
      <c r="E10">
        <f>50.02*6</f>
        <v>300.12</v>
      </c>
    </row>
    <row r="11" spans="1:9" x14ac:dyDescent="0.3">
      <c r="E11">
        <f>+E10*2</f>
        <v>600.24</v>
      </c>
      <c r="I11" t="s">
        <v>115</v>
      </c>
    </row>
    <row r="12" spans="1:9" x14ac:dyDescent="0.3">
      <c r="I12" t="s">
        <v>116</v>
      </c>
    </row>
    <row r="13" spans="1:9" x14ac:dyDescent="0.3">
      <c r="I13" t="s">
        <v>117</v>
      </c>
    </row>
    <row r="14" spans="1:9" x14ac:dyDescent="0.3">
      <c r="I14" t="s">
        <v>118</v>
      </c>
    </row>
    <row r="16" spans="1:9" x14ac:dyDescent="0.3">
      <c r="I16" t="s">
        <v>119</v>
      </c>
    </row>
    <row r="17" spans="9:9" x14ac:dyDescent="0.3">
      <c r="I17" t="s">
        <v>120</v>
      </c>
    </row>
    <row r="18" spans="9:9" x14ac:dyDescent="0.3">
      <c r="I18" t="s">
        <v>121</v>
      </c>
    </row>
    <row r="19" spans="9:9" x14ac:dyDescent="0.3">
      <c r="I19" t="s">
        <v>122</v>
      </c>
    </row>
    <row r="20" spans="9:9" x14ac:dyDescent="0.3">
      <c r="I20" t="s">
        <v>123</v>
      </c>
    </row>
    <row r="21" spans="9:9" x14ac:dyDescent="0.3">
      <c r="I21" t="s">
        <v>109</v>
      </c>
    </row>
    <row r="22" spans="9:9" x14ac:dyDescent="0.3">
      <c r="I22" t="s">
        <v>110</v>
      </c>
    </row>
    <row r="23" spans="9:9" x14ac:dyDescent="0.3">
      <c r="I23" t="s">
        <v>111</v>
      </c>
    </row>
    <row r="25" spans="9:9" x14ac:dyDescent="0.3">
      <c r="I25" t="s">
        <v>112</v>
      </c>
    </row>
    <row r="26" spans="9:9" x14ac:dyDescent="0.3">
      <c r="I26" t="s">
        <v>113</v>
      </c>
    </row>
    <row r="27" spans="9:9" x14ac:dyDescent="0.3">
      <c r="I27" t="s">
        <v>114</v>
      </c>
    </row>
    <row r="29" spans="9:9" x14ac:dyDescent="0.3">
      <c r="I29" t="s">
        <v>124</v>
      </c>
    </row>
    <row r="30" spans="9:9" x14ac:dyDescent="0.3">
      <c r="I30" t="s">
        <v>125</v>
      </c>
    </row>
    <row r="31" spans="9:9" x14ac:dyDescent="0.3">
      <c r="I31" t="s">
        <v>117</v>
      </c>
    </row>
    <row r="32" spans="9:9" x14ac:dyDescent="0.3">
      <c r="I32" t="s">
        <v>118</v>
      </c>
    </row>
    <row r="34" spans="9:9" x14ac:dyDescent="0.3">
      <c r="I34" t="s">
        <v>126</v>
      </c>
    </row>
    <row r="35" spans="9:9" x14ac:dyDescent="0.3">
      <c r="I35" t="s">
        <v>127</v>
      </c>
    </row>
    <row r="36" spans="9:9" x14ac:dyDescent="0.3">
      <c r="I36" t="s">
        <v>128</v>
      </c>
    </row>
    <row r="37" spans="9:9" x14ac:dyDescent="0.3">
      <c r="I37" t="s">
        <v>121</v>
      </c>
    </row>
    <row r="38" spans="9:9" x14ac:dyDescent="0.3">
      <c r="I38" t="s">
        <v>129</v>
      </c>
    </row>
    <row r="39" spans="9:9" x14ac:dyDescent="0.3">
      <c r="I39" t="s">
        <v>109</v>
      </c>
    </row>
    <row r="40" spans="9:9" x14ac:dyDescent="0.3">
      <c r="I40" t="s">
        <v>110</v>
      </c>
    </row>
    <row r="41" spans="9:9" x14ac:dyDescent="0.3">
      <c r="I41" t="s">
        <v>111</v>
      </c>
    </row>
    <row r="43" spans="9:9" x14ac:dyDescent="0.3">
      <c r="I43" t="s">
        <v>112</v>
      </c>
    </row>
    <row r="44" spans="9:9" x14ac:dyDescent="0.3">
      <c r="I44" t="s">
        <v>113</v>
      </c>
    </row>
    <row r="45" spans="9:9" x14ac:dyDescent="0.3">
      <c r="I45" t="s">
        <v>114</v>
      </c>
    </row>
    <row r="47" spans="9:9" x14ac:dyDescent="0.3">
      <c r="I47" t="s">
        <v>130</v>
      </c>
    </row>
    <row r="48" spans="9:9" x14ac:dyDescent="0.3">
      <c r="I48" t="s">
        <v>131</v>
      </c>
    </row>
    <row r="50" spans="9:9" x14ac:dyDescent="0.3">
      <c r="I50" t="s">
        <v>132</v>
      </c>
    </row>
    <row r="51" spans="9:9" x14ac:dyDescent="0.3">
      <c r="I51" t="s">
        <v>133</v>
      </c>
    </row>
    <row r="52" spans="9:9" x14ac:dyDescent="0.3">
      <c r="I52" t="s">
        <v>134</v>
      </c>
    </row>
    <row r="53" spans="9:9" x14ac:dyDescent="0.3">
      <c r="I5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 TB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Soliman</dc:creator>
  <cp:lastModifiedBy>Mohammed Soliman</cp:lastModifiedBy>
  <dcterms:created xsi:type="dcterms:W3CDTF">2020-12-25T07:33:12Z</dcterms:created>
  <dcterms:modified xsi:type="dcterms:W3CDTF">2021-07-21T09:38:26Z</dcterms:modified>
</cp:coreProperties>
</file>